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 Thermodynamics" sheetId="2" state="visible" r:id="rId4"/>
    <sheet name="2 Cell and physiology" sheetId="3" state="visible" r:id="rId5"/>
    <sheet name="3 Enzyme kinetics" sheetId="4" state="visible" r:id="rId6"/>
    <sheet name="4 Cofactor pools" sheetId="5" state="visible" r:id="rId7"/>
    <sheet name="5 Host comparison" sheetId="6" state="visible" r:id="rId8"/>
    <sheet name="6 Restriction systems" sheetId="7" state="visible" r:id="rId9"/>
    <sheet name="7 Transport calculator" sheetId="8" state="visible" r:id="rId10"/>
    <sheet name="8 Economics" sheetId="9" state="visible" r:id="rId11"/>
    <sheet name="9 Provenance" sheetId="10" state="visible" r:id="rId12"/>
    <sheet name="10 Verify thes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<sst xmlns="http://schemas.openxmlformats.org/spreadsheetml/2006/main" count="582" uniqueCount="474">
  <si>
    <t xml:space="preserve">Lookup appendix for the metabolic engineering study module</t>
  </si>
  <si>
    <t xml:space="preserve">A workbook of the numbers the module tells you to go and find. Fill the yellow cells; the white ones compute from them.</t>
  </si>
  <si>
    <t xml:space="preserve">How to use it</t>
  </si>
  <si>
    <t xml:space="preserve">1. Yellow cells with blue text are yours to fill. Every one names the source to fill it from in the Source column.</t>
  </si>
  <si>
    <t xml:space="preserve">2. White cells are formulas. They recompute when you change an input, so the sheets are a live calculator, not a table.</t>
  </si>
  <si>
    <t xml:space="preserve">3. Each row says where in the module the number is used, so you can see what moves if the number is wrong.</t>
  </si>
  <si>
    <t xml:space="preserve">4. The "my placeholder" column holds the value I used in the module. Treat it as a prior to be replaced, not as data.</t>
  </si>
  <si>
    <t xml:space="preserve">5. Record the access date and the accession or query with every value. A number without its source is not usable in a thesis.</t>
  </si>
  <si>
    <t xml:space="preserve">Sheets</t>
  </si>
  <si>
    <t xml:space="preserve">1 Thermodynamics      — ΔG°′ per reaction from eQuilibrator; the sheet computes ΔG′ at your concentrations</t>
  </si>
  <si>
    <t xml:space="preserve">2 Cell and physiology — cell size, protein content, pool concentrations, growth rates, from BioNumbers</t>
  </si>
  <si>
    <t xml:space="preserve">3 Enzyme kinetics     — k_cat and K_M per enzyme from BRENDA; the sheet computes the proteome cost of a flux</t>
  </si>
  <si>
    <t xml:space="preserve">4 Cofactor pools      — the NAD(P) ratios that enter every redox ΔG′</t>
  </si>
  <si>
    <t xml:space="preserve">5 Host comparison     — the cells marked with a dagger in part 6 chapter 61</t>
  </si>
  <si>
    <t xml:space="preserve">6 Restriction systems — your host's systems from REBASE, with the site-count arithmetic</t>
  </si>
  <si>
    <t xml:space="preserve">7 Transport calculator— physical constants, and the k_L a a target productivity demands</t>
  </si>
  <si>
    <t xml:space="preserve">8 Economics           — prices, and the MPSP and water-removal arithmetic of part 4 chapter 49</t>
  </si>
  <si>
    <t xml:space="preserve">9 Provenance          — model and software versions, so a result can be reproduced</t>
  </si>
  <si>
    <t xml:space="preserve">10 Verify these       — every claim I made in the module from memory rather than calculation, with where to check it</t>
  </si>
  <si>
    <t xml:space="preserve">What this workbook cannot do</t>
  </si>
  <si>
    <t xml:space="preserve">It cannot fetch anything. I built it in a container with no network access, so every value column is empty by design.</t>
  </si>
  <si>
    <t xml:space="preserve">The placeholders are my own recollection or my own assumption and several are known to be approximate; the Verify these sheet lists them.</t>
  </si>
  <si>
    <t xml:space="preserve">Sheet 1 — Standard free energies, and the real driving force</t>
  </si>
  <si>
    <t xml:space="preserve">Fill ΔG°′ from eQuilibrator at pH 7.5 and ionic strength 0.25 M unless your host says otherwise. Q is the mass-action ratio at your measured concentrations. Column F computes ΔG′ = ΔG°′ + RT·ln Q.</t>
  </si>
  <si>
    <t xml:space="preserve">Reaction (EC / common name)</t>
  </si>
  <si>
    <t xml:space="preserve">eQuilibrator query to paste</t>
  </si>
  <si>
    <t xml:space="preserve">ΔG°′ (kJ/mol) — FILL</t>
  </si>
  <si>
    <t xml:space="preserve">Q = [products]/[substrates] — FILL</t>
  </si>
  <si>
    <t xml:space="preserve">T (K) — FILL</t>
  </si>
  <si>
    <t xml:space="preserve">ΔG′ (kJ/mol) — computed</t>
  </si>
  <si>
    <t xml:space="preserve">Why it matters / module reference</t>
  </si>
  <si>
    <t xml:space="preserve">My placeholder (unverified)</t>
  </si>
  <si>
    <t xml:space="preserve">Hexokinase / glucokinase (EC 2.7.1.2)</t>
  </si>
  <si>
    <t xml:space="preserve">glucose + ATP = glucose-6-phosphate + ADP</t>
  </si>
  <si>
    <t xml:space="preserve">Far-from-equilibrium step; part 2 ch 14 target selection</t>
  </si>
  <si>
    <t xml:space="preserve">−27</t>
  </si>
  <si>
    <t xml:space="preserve">Phosphoglucose isomerase (EC 5.3.1.9)</t>
  </si>
  <si>
    <t xml:space="preserve">glucose-6-phosphate = fructose-6-phosphate</t>
  </si>
  <si>
    <t xml:space="preserve">Near equilibrium — cannot be a control point</t>
  </si>
  <si>
    <t xml:space="preserve">~0</t>
  </si>
  <si>
    <t xml:space="preserve">Phosphofructokinase (EC 2.7.1.11)</t>
  </si>
  <si>
    <t xml:space="preserve">fructose-6-phosphate + ATP = fructose-1,6-bisphosphate + ADP</t>
  </si>
  <si>
    <t xml:space="preserve">Regulated, far from equilibrium</t>
  </si>
  <si>
    <t xml:space="preserve">−26</t>
  </si>
  <si>
    <t xml:space="preserve">Aldolase (EC 4.1.2.13)</t>
  </si>
  <si>
    <t xml:space="preserve">fructose-1,6-bisphosphate = DHAP + glyceraldehyde-3-phosphate</t>
  </si>
  <si>
    <t xml:space="preserve">Near equilibrium</t>
  </si>
  <si>
    <t xml:space="preserve">Triosephosphate isomerase (EC 5.3.1.1)</t>
  </si>
  <si>
    <t xml:space="preserve">DHAP = glyceraldehyde-3-phosphate</t>
  </si>
  <si>
    <t xml:space="preserve">GAPDH (EC 1.2.1.12)</t>
  </si>
  <si>
    <t xml:space="preserve">glyceraldehyde-3-phosphate + NAD+ + Pi = 1,3-bisphosphoglycerate + NADH</t>
  </si>
  <si>
    <t xml:space="preserve">Redox-coupled; ratio-sensitive</t>
  </si>
  <si>
    <t xml:space="preserve">—</t>
  </si>
  <si>
    <t xml:space="preserve">Pyruvate kinase (EC 2.7.1.40)</t>
  </si>
  <si>
    <t xml:space="preserve">phosphoenolpyruvate + ADP = pyruvate + ATP</t>
  </si>
  <si>
    <t xml:space="preserve">Third far-from-equilibrium glycolytic step</t>
  </si>
  <si>
    <t xml:space="preserve">−14</t>
  </si>
  <si>
    <t xml:space="preserve">Pyruvate dehydrogenase (EC 1.2.4.1)</t>
  </si>
  <si>
    <t xml:space="preserve">pyruvate + CoA + NAD+ = acetyl-CoA + CO2 + NADH</t>
  </si>
  <si>
    <t xml:space="preserve">Irreversible; the 2-carbon loss of part 1 ch 5</t>
  </si>
  <si>
    <t xml:space="preserve">Citrate synthase (EC 2.3.3.1)</t>
  </si>
  <si>
    <t xml:space="preserve">acetyl-CoA + oxaloacetate + H2O = citrate + CoA</t>
  </si>
  <si>
    <t xml:space="preserve">TCA entry; oxaloacetate-limited</t>
  </si>
  <si>
    <t xml:space="preserve">Isocitrate dehydrogenase (EC 1.1.1.42)</t>
  </si>
  <si>
    <t xml:space="preserve">isocitrate + NADP+ = 2-oxoglutarate + CO2 + NADPH</t>
  </si>
  <si>
    <t xml:space="preserve">A major NADPH source in the TCA cycle</t>
  </si>
  <si>
    <t xml:space="preserve">PEP carboxylase (EC 4.1.1.31)</t>
  </si>
  <si>
    <t xml:space="preserve">phosphoenolpyruvate + CO2 + H2O = oxaloacetate + Pi</t>
  </si>
  <si>
    <t xml:space="preserve">Anaplerosis; part 1 ch 6</t>
  </si>
  <si>
    <t xml:space="preserve">Acetate kinase (EC 2.7.2.1)</t>
  </si>
  <si>
    <t xml:space="preserve">acetyl phosphate + ADP = acetate + ATP</t>
  </si>
  <si>
    <t xml:space="preserve">Overflow outlet; part 1 ch 6</t>
  </si>
  <si>
    <t xml:space="preserve">Your pathway, step 1</t>
  </si>
  <si>
    <t xml:space="preserve">The max-min driving force of part 2 ch 14 starts here</t>
  </si>
  <si>
    <t xml:space="preserve">Your pathway, step 2</t>
  </si>
  <si>
    <t xml:space="preserve">Your pathway, step 3</t>
  </si>
  <si>
    <t xml:space="preserve">Your pathway, step 4</t>
  </si>
  <si>
    <t xml:space="preserve">Your pathway, step 5</t>
  </si>
  <si>
    <t xml:space="preserve">Record the worst step: that is the MDF</t>
  </si>
  <si>
    <t xml:space="preserve">Note: R = 0.008314 kJ/mol/K is written into the formula. The max-min driving force is the largest value of min(−ΔG′) you can reach by varying the intermediate concentrations between 1 µM and 10 mM.</t>
  </si>
  <si>
    <t xml:space="preserve">Sheet 2 — Cell parameters and pool concentrations</t>
  </si>
  <si>
    <t xml:space="preserve">BioNumbers (bionumbers.hms.harvard.edu) for most rows. Every one of these appears in a calculation somewhere in the module; the last column is what I assumed.</t>
  </si>
  <si>
    <t xml:space="preserve">Quantity</t>
  </si>
  <si>
    <t xml:space="preserve">Units</t>
  </si>
  <si>
    <t xml:space="preserve">Organism / condition</t>
  </si>
  <si>
    <t xml:space="preserve">Value — FILL</t>
  </si>
  <si>
    <t xml:space="preserve">Source + BioNumbers ID + date — FILL</t>
  </si>
  <si>
    <t xml:space="preserve">Where it is used in the module</t>
  </si>
  <si>
    <t xml:space="preserve">Cell volume</t>
  </si>
  <si>
    <t xml:space="preserve">fL</t>
  </si>
  <si>
    <t xml:space="preserve">E. coli, exponential</t>
  </si>
  <si>
    <t xml:space="preserve">Part 1 ch 1 intracellular ceiling</t>
  </si>
  <si>
    <t xml:space="preserve">1 (range 0.4–1.8)</t>
  </si>
  <si>
    <t xml:space="preserve">Total protein per dry weight</t>
  </si>
  <si>
    <t xml:space="preserve">g/gDCW</t>
  </si>
  <si>
    <t xml:space="preserve">E. coli</t>
  </si>
  <si>
    <t xml:space="preserve">Part 4 ch 51 enzyme-constraint arithmetic</t>
  </si>
  <si>
    <t xml:space="preserve">0.5</t>
  </si>
  <si>
    <t xml:space="preserve">Cytoplasmic protein concentration</t>
  </si>
  <si>
    <t xml:space="preserve">g/L</t>
  </si>
  <si>
    <t xml:space="preserve">Part 1 ch 1 crowding</t>
  </si>
  <si>
    <t xml:space="preserve">200–320</t>
  </si>
  <si>
    <t xml:space="preserve">Cell volume per dry weight</t>
  </si>
  <si>
    <t xml:space="preserve">mL/gDCW</t>
  </si>
  <si>
    <t xml:space="preserve">Part 6 ch 59 intracellular titer ceiling</t>
  </si>
  <si>
    <t xml:space="preserve">2</t>
  </si>
  <si>
    <t xml:space="preserve">Dry weight per cell</t>
  </si>
  <si>
    <t xml:space="preserve">pg</t>
  </si>
  <si>
    <t xml:space="preserve">Part 6 ch 58 per-cell flux</t>
  </si>
  <si>
    <t xml:space="preserve">0.3</t>
  </si>
  <si>
    <t xml:space="preserve">Maximum growth rate</t>
  </si>
  <si>
    <t xml:space="preserve">1/h</t>
  </si>
  <si>
    <t xml:space="preserve">E. coli, glucose minimal</t>
  </si>
  <si>
    <t xml:space="preserve">Part 1 ch 10, part 11 ch 39 washout</t>
  </si>
  <si>
    <t xml:space="preserve">~0.5–0.9</t>
  </si>
  <si>
    <t xml:space="preserve">Maintenance ATP (non-growth)</t>
  </si>
  <si>
    <t xml:space="preserve">mmol ATP/gDCW/h</t>
  </si>
  <si>
    <t xml:space="preserve">Part 10 ch 35 maintenance intercept</t>
  </si>
  <si>
    <t xml:space="preserve">8.39</t>
  </si>
  <si>
    <t xml:space="preserve">Specific oxygen uptake</t>
  </si>
  <si>
    <t xml:space="preserve">mmol O2/gDCW/h</t>
  </si>
  <si>
    <t xml:space="preserve">E. coli, aerobic</t>
  </si>
  <si>
    <t xml:space="preserve">Part 11 ch 44 — every k_L a number scales with this</t>
  </si>
  <si>
    <t xml:space="preserve">5</t>
  </si>
  <si>
    <t xml:space="preserve">Acetate overflow threshold</t>
  </si>
  <si>
    <t xml:space="preserve">Part 1 ch 6</t>
  </si>
  <si>
    <t xml:space="preserve">0.76</t>
  </si>
  <si>
    <t xml:space="preserve">mRNA half-life (median)</t>
  </si>
  <si>
    <t xml:space="preserve">min</t>
  </si>
  <si>
    <t xml:space="preserve">Part 8 ch 27 knockdown arithmetic</t>
  </si>
  <si>
    <t xml:space="preserve">3</t>
  </si>
  <si>
    <t xml:space="preserve">Transcription rate</t>
  </si>
  <si>
    <t xml:space="preserve">nt/s</t>
  </si>
  <si>
    <t xml:space="preserve">Part 1 ch 1</t>
  </si>
  <si>
    <t xml:space="preserve">40–80</t>
  </si>
  <si>
    <t xml:space="preserve">Translation rate</t>
  </si>
  <si>
    <t xml:space="preserve">aa/s</t>
  </si>
  <si>
    <t xml:space="preserve">10–20</t>
  </si>
  <si>
    <t xml:space="preserve">Mutation rate</t>
  </si>
  <si>
    <t xml:space="preserve">per bp per generation</t>
  </si>
  <si>
    <t xml:space="preserve">E. coli wild type</t>
  </si>
  <si>
    <t xml:space="preserve">Part 8 ch 28 ALE supply arithmetic</t>
  </si>
  <si>
    <t xml:space="preserve">1e-10</t>
  </si>
  <si>
    <t xml:space="preserve">Free energy of ATP hydrolysis in vivo</t>
  </si>
  <si>
    <t xml:space="preserve">kJ/mol</t>
  </si>
  <si>
    <t xml:space="preserve">E. coli, growing</t>
  </si>
  <si>
    <t xml:space="preserve">Part 1 ch 4, part 2 ch 14 export cost</t>
  </si>
  <si>
    <t xml:space="preserve">40–60</t>
  </si>
  <si>
    <t xml:space="preserve">Intracellular acetyl-CoA</t>
  </si>
  <si>
    <t xml:space="preserve">mM</t>
  </si>
  <si>
    <t xml:space="preserve">your host</t>
  </si>
  <si>
    <t xml:space="preserve">Part 5 ch 53 precursor supply</t>
  </si>
  <si>
    <t xml:space="preserve">Intracellular pyruvate</t>
  </si>
  <si>
    <t xml:space="preserve">Part 5 precursor supply</t>
  </si>
  <si>
    <t xml:space="preserve">Intracellular PEP</t>
  </si>
  <si>
    <t xml:space="preserve">Part 1 ch 7 aromatic precursors</t>
  </si>
  <si>
    <t xml:space="preserve">Intracellular 2-oxoglutarate</t>
  </si>
  <si>
    <t xml:space="preserve">Part 1 ch 7 nitrogen entry</t>
  </si>
  <si>
    <t xml:space="preserve">Your product, intracellular</t>
  </si>
  <si>
    <t xml:space="preserve">your strain</t>
  </si>
  <si>
    <t xml:space="preserve">Part 3 ch 45 export diagnosis</t>
  </si>
  <si>
    <t xml:space="preserve">Sheet 3 — Kinetic constants, and what a flux costs in protein</t>
  </si>
  <si>
    <t xml:space="preserve">From BRENDA (brenda-enzymes.org), with the assay organism and conditions recorded — a k_cat from a thermophile at 70 °C is not your enzyme. Column H computes the share of a 0.5 g/gDCW proteome the flux needs: v·MW/(k_cat·0.5), and is the rejection test of part 4 chapter 51.</t>
  </si>
  <si>
    <t xml:space="preserve">Enzyme (EC)</t>
  </si>
  <si>
    <t xml:space="preserve">Source organism</t>
  </si>
  <si>
    <t xml:space="preserve">k_cat (1/s) — FILL</t>
  </si>
  <si>
    <t xml:space="preserve">K_M (mM) — FILL</t>
  </si>
  <si>
    <t xml:space="preserve">MW (kDa) — FILL</t>
  </si>
  <si>
    <t xml:space="preserve">BRENDA entry + date — FILL</t>
  </si>
  <si>
    <t xml:space="preserve">Target flux (mmol/gDCW/h) — FILL</t>
  </si>
  <si>
    <t xml:space="preserve">Proteome fraction required (%) — computed</t>
  </si>
  <si>
    <t xml:space="preserve">Note</t>
  </si>
  <si>
    <t xml:space="preserve">Your pathway enzyme 1</t>
  </si>
  <si>
    <t xml:space="preserve">If column H exceeds a few per cent, the enzyme is the problem</t>
  </si>
  <si>
    <t xml:space="preserve">Your pathway enzyme 2</t>
  </si>
  <si>
    <t xml:space="preserve">Your pathway enzyme 3</t>
  </si>
  <si>
    <t xml:space="preserve">Your pathway enzyme 4</t>
  </si>
  <si>
    <t xml:space="preserve">Your pathway enzyme 5</t>
  </si>
  <si>
    <t xml:space="preserve">Rate-limiting candidate</t>
  </si>
  <si>
    <t xml:space="preserve">Compare with its control coefficient before engineering it</t>
  </si>
  <si>
    <t xml:space="preserve">Competing-branch enzyme</t>
  </si>
  <si>
    <t xml:space="preserve">K_M against the measured pool decides the part 2 ch 11 diagnosis</t>
  </si>
  <si>
    <t xml:space="preserve">Transporter / exporter</t>
  </si>
  <si>
    <t xml:space="preserve">Part 3 ch 45: a V_max, unlike diffusion</t>
  </si>
  <si>
    <t xml:space="preserve">Cofactor-swap target</t>
  </si>
  <si>
    <t xml:space="preserve">Record k_cat/K_M for BOTH cofactors</t>
  </si>
  <si>
    <t xml:space="preserve">Reference: a fast enzyme</t>
  </si>
  <si>
    <t xml:space="preserve">For scale: diffusion limit on k_cat/K_M is 1e8–1e9 /M/s</t>
  </si>
  <si>
    <t xml:space="preserve">Formula: fraction = v [mol/gDCW/s] × MW [g/mol] ÷ (k_cat [1/s] × 0.5 g protein/gDCW). Replace 0.5 with your own value from sheet 2 if you measure it.</t>
  </si>
  <si>
    <t xml:space="preserve">Sheet 4 — Cofactor ratios</t>
  </si>
  <si>
    <t xml:space="preserve">These ratios enter Q in every redox reaction, so they belong in sheet 1 before you compute any ΔG′ for a reduction. Part 2 chapter 14 explains why a cofactor swap can weaken the thermodynamics of the step you swapped.</t>
  </si>
  <si>
    <t xml:space="preserve">Pool</t>
  </si>
  <si>
    <t xml:space="preserve">Source + date — FILL</t>
  </si>
  <si>
    <t xml:space="preserve">Enters which calculation</t>
  </si>
  <si>
    <t xml:space="preserve">NAD+ / NADH</t>
  </si>
  <si>
    <t xml:space="preserve">ratio</t>
  </si>
  <si>
    <t xml:space="preserve">your host, your condition</t>
  </si>
  <si>
    <t xml:space="preserve">Sheet 1 Q for every NAD-dependent step</t>
  </si>
  <si>
    <t xml:space="preserve">kept oxidised</t>
  </si>
  <si>
    <t xml:space="preserve">NADP+ / NADPH</t>
  </si>
  <si>
    <t xml:space="preserve">Sheet 1 Q for every NADP-dependent step</t>
  </si>
  <si>
    <t xml:space="preserve">kept reduced</t>
  </si>
  <si>
    <t xml:space="preserve">ATP / ADP</t>
  </si>
  <si>
    <t xml:space="preserve">Energy available per phosphoryl transfer</t>
  </si>
  <si>
    <t xml:space="preserve">Acetyl-CoA / CoA</t>
  </si>
  <si>
    <t xml:space="preserve">Part 5 ch 56 polymer and lipid pathways</t>
  </si>
  <si>
    <t xml:space="preserve">Total NAD(H)</t>
  </si>
  <si>
    <t xml:space="preserve">Conserved moiety in part 2 ch 13 rank counting</t>
  </si>
  <si>
    <t xml:space="preserve">Total NADP(H)</t>
  </si>
  <si>
    <t xml:space="preserve">As above</t>
  </si>
  <si>
    <t xml:space="preserve">Sheet 5 — The host table, with the cells I could not verify</t>
  </si>
  <si>
    <t xml:space="preserve">This is part 6 chapter 61's table with every dagger-marked cell emptied. The last column is my judgement; everything else needs a source. Transformation efficiency is the single most decision-relevant number and the one most often quoted from a catalogue rather than a bench.</t>
  </si>
  <si>
    <t xml:space="preserve">Host</t>
  </si>
  <si>
    <t xml:space="preserve">Tool maturity — FILL</t>
  </si>
  <si>
    <t xml:space="preserve">GRAS / regulatory history — FILL</t>
  </si>
  <si>
    <t xml:space="preserve">Substrate range — FILL</t>
  </si>
  <si>
    <t xml:space="preserve">Product localisation — FILL</t>
  </si>
  <si>
    <t xml:space="preserve">Doubling time (h) — FILL</t>
  </si>
  <si>
    <t xml:space="preserve">Transformation efficiency (cfu/µg) — FILL</t>
  </si>
  <si>
    <t xml:space="preserve">Uniquely good at (my note)</t>
  </si>
  <si>
    <t xml:space="preserve">Shortest DBTL cycle in biology</t>
  </si>
  <si>
    <t xml:space="preserve">S. cerevisiae</t>
  </si>
  <si>
    <t xml:space="preserve">Eukaryotic pathways with P450s; best eukaryotic toolkit</t>
  </si>
  <si>
    <t xml:space="preserve">C. glutamicum</t>
  </si>
  <si>
    <t xml:space="preserve">Native amino-acid export, tolerance, little overflow</t>
  </si>
  <si>
    <t xml:space="preserve">B. subtilis</t>
  </si>
  <si>
    <t xml:space="preserve">Secreted enzymes; natural competence</t>
  </si>
  <si>
    <t xml:space="preserve">Y. lipolytica</t>
  </si>
  <si>
    <t xml:space="preserve">Lipids and hydrophobic substrates</t>
  </si>
  <si>
    <t xml:space="preserve">K. phaffii</t>
  </si>
  <si>
    <t xml:space="preserve">High-density secretion of proteins</t>
  </si>
  <si>
    <t xml:space="preserve">C. necator</t>
  </si>
  <si>
    <t xml:space="preserve">PHA, and autotrophic growth on H2 + CO2</t>
  </si>
  <si>
    <t xml:space="preserve">Cyanobacteria</t>
  </si>
  <si>
    <t xml:space="preserve">Photoautotrophy with prokaryotic genetics</t>
  </si>
  <si>
    <t xml:space="preserve">CHO cells</t>
  </si>
  <si>
    <t xml:space="preserve">Human-compatible glycosylation</t>
  </si>
  <si>
    <t xml:space="preserve">Your capstone host</t>
  </si>
  <si>
    <t xml:space="preserve">State the deciding property and the alternative rejected</t>
  </si>
  <si>
    <t xml:space="preserve">Sheet 6 — Your host's restriction systems, and whether your construct survives</t>
  </si>
  <si>
    <t xml:space="preserve">From REBASE (rebase.neb.com). Columns G and H apply part 4 chapter 52's arithmetic: expected sites = 2·L·(1/4)^k for a non-palindromic motif and L·(1/4)^k for a palindrome, and P(none) = e^(−expected).</t>
  </si>
  <si>
    <t xml:space="preserve">System name</t>
  </si>
  <si>
    <t xml:space="preserve">Type (I / II / III / IV)</t>
  </si>
  <si>
    <t xml:space="preserve">Recognition motif — FILL</t>
  </si>
  <si>
    <t xml:space="preserve">Palindromic? — FILL</t>
  </si>
  <si>
    <t xml:space="preserve">REBASE accession + date — FILL</t>
  </si>
  <si>
    <t xml:space="preserve">Construct length (bp) — FILL</t>
  </si>
  <si>
    <t xml:space="preserve">Expected sites — computed</t>
  </si>
  <si>
    <t xml:space="preserve">P(no sites) — computed</t>
  </si>
  <si>
    <t xml:space="preserve">Bypass that applies</t>
  </si>
  <si>
    <t xml:space="preserve">System 1</t>
  </si>
  <si>
    <t xml:space="preserve">Pre-methylate (I–III); site removal (II only); dam/dcm-minus host (IV)</t>
  </si>
  <si>
    <t xml:space="preserve">System 2</t>
  </si>
  <si>
    <t xml:space="preserve">System 3</t>
  </si>
  <si>
    <t xml:space="preserve">System 4</t>
  </si>
  <si>
    <t xml:space="preserve">System 5</t>
  </si>
  <si>
    <t xml:space="preserve">Overall survival across all systems is the product of column H. Three independent 6-base systems give about 0.02%, which is why a few colonies per microgram is the defence working rather than poor competent cells.</t>
  </si>
  <si>
    <t xml:space="preserve">Sheet 7 — Transport constants, and the k_L a a target demands</t>
  </si>
  <si>
    <t xml:space="preserve">Physical constants from a handbook or the vendor; the derived column applies part 11 chapter 44.</t>
  </si>
  <si>
    <t xml:space="preserve">Input</t>
  </si>
  <si>
    <t xml:space="preserve">Source / note</t>
  </si>
  <si>
    <t xml:space="preserve">Derived quantity</t>
  </si>
  <si>
    <t xml:space="preserve">Computed</t>
  </si>
  <si>
    <t xml:space="preserve">Module reference</t>
  </si>
  <si>
    <t xml:space="preserve">Cell density target</t>
  </si>
  <si>
    <t xml:space="preserve">gDCW/L</t>
  </si>
  <si>
    <t xml:space="preserve">Your process</t>
  </si>
  <si>
    <t xml:space="preserve">Oxygen uptake rate (mmol/L/h)</t>
  </si>
  <si>
    <t xml:space="preserve">Part 11 ch 44</t>
  </si>
  <si>
    <t xml:space="preserve">mmol/gDCW/h</t>
  </si>
  <si>
    <t xml:space="preserve">Sheet 2</t>
  </si>
  <si>
    <t xml:space="preserve">Required k_L a (1/h)</t>
  </si>
  <si>
    <t xml:space="preserve">OTR = k_L a(C*−C_L)</t>
  </si>
  <si>
    <t xml:space="preserve">O2 saturation C*</t>
  </si>
  <si>
    <t xml:space="preserve">Henry, at your T and gas composition</t>
  </si>
  <si>
    <t xml:space="preserve">Driving force (mM)</t>
  </si>
  <si>
    <t xml:space="preserve">~0.21 mM for air at 37 °C</t>
  </si>
  <si>
    <t xml:space="preserve">Bulk dissolved O2 C_L</t>
  </si>
  <si>
    <t xml:space="preserve">Your setpoint</t>
  </si>
  <si>
    <t xml:space="preserve">Oxygen bound for the model (mmol/gDCW/h)</t>
  </si>
  <si>
    <t xml:space="preserve">Part 11 ch 44 problem D6</t>
  </si>
  <si>
    <t xml:space="preserve">Achievable k_L a</t>
  </si>
  <si>
    <t xml:space="preserve">Your vessel, measured</t>
  </si>
  <si>
    <t xml:space="preserve">Cell density it supports (gDCW/L)</t>
  </si>
  <si>
    <t xml:space="preserve">Impeller diameter</t>
  </si>
  <si>
    <t xml:space="preserve">m</t>
  </si>
  <si>
    <t xml:space="preserve">Vessel</t>
  </si>
  <si>
    <t xml:space="preserve">Power draw (W)</t>
  </si>
  <si>
    <t xml:space="preserve">P = N_p ρ n³ d⁵</t>
  </si>
  <si>
    <t xml:space="preserve">Impeller speed</t>
  </si>
  <si>
    <t xml:space="preserve">1/s</t>
  </si>
  <si>
    <t xml:space="preserve">Tip speed (m/s)</t>
  </si>
  <si>
    <t xml:space="preserve">Shear at the impeller</t>
  </si>
  <si>
    <t xml:space="preserve">Power number N_p</t>
  </si>
  <si>
    <t xml:space="preserve">5 for a Rushton turbine</t>
  </si>
  <si>
    <t xml:space="preserve">Power per volume (W/m³)</t>
  </si>
  <si>
    <t xml:space="preserve">Working volume</t>
  </si>
  <si>
    <t xml:space="preserve">m³</t>
  </si>
  <si>
    <t xml:space="preserve">Broth density</t>
  </si>
  <si>
    <t xml:space="preserve">kg/m³</t>
  </si>
  <si>
    <t xml:space="preserve">~1000 for aqueous</t>
  </si>
  <si>
    <t xml:space="preserve">Effective diffusivity in gel</t>
  </si>
  <si>
    <t xml:space="preserve">m²/s</t>
  </si>
  <si>
    <t xml:space="preserve">Literature for your matrix</t>
  </si>
  <si>
    <t xml:space="preserve">Oxygen penetration depth (µm)</t>
  </si>
  <si>
    <t xml:space="preserve">Part 3 ch 48 dead core</t>
  </si>
  <si>
    <t xml:space="preserve">Biomass in bead</t>
  </si>
  <si>
    <t xml:space="preserve">Your immobilisation</t>
  </si>
  <si>
    <t xml:space="preserve">Fully-live bead diameter (mm)</t>
  </si>
  <si>
    <t xml:space="preserve">Part 3 ch 48</t>
  </si>
  <si>
    <t xml:space="preserve">Light attenuation coefficient</t>
  </si>
  <si>
    <t xml:space="preserve">m²/g</t>
  </si>
  <si>
    <t xml:space="preserve">Measured for your strain</t>
  </si>
  <si>
    <t xml:space="preserve">10% light depth at 1 g/L (mm)</t>
  </si>
  <si>
    <t xml:space="preserve">Part 6 ch 60</t>
  </si>
  <si>
    <t xml:space="preserve">The dead-core formula assumes a specific oxygen uptake of 4 mg O2 per g biomass per hour and 32 g/mol for oxygen, as in problem T1; edit the formula if yours differs. Note that the appendix problem T1 and my part 3 chapter 48 assume demands differing about eightfold — pick one.</t>
  </si>
  <si>
    <t xml:space="preserve">Sheet 8 — Prices, and the minimum selling price</t>
  </si>
  <si>
    <t xml:space="preserve">Prices move fast; quote the date and the source. The derived column is part 4 chapter 49's model, condensed.</t>
  </si>
  <si>
    <t xml:space="preserve">Glucose price</t>
  </si>
  <si>
    <t xml:space="preserve">$/kg</t>
  </si>
  <si>
    <t xml:space="preserve">Commodity index, dated</t>
  </si>
  <si>
    <t xml:space="preserve">Feedstock cost ($/kg product)</t>
  </si>
  <si>
    <t xml:space="preserve">Part 4 ch 49</t>
  </si>
  <si>
    <t xml:space="preserve">Mass yield on substrate</t>
  </si>
  <si>
    <t xml:space="preserve">g/g</t>
  </si>
  <si>
    <t xml:space="preserve">Your strain, measured</t>
  </si>
  <si>
    <t xml:space="preserve">Litres of broth per kg product</t>
  </si>
  <si>
    <t xml:space="preserve">Titer</t>
  </si>
  <si>
    <t xml:space="preserve">Your strain</t>
  </si>
  <si>
    <t xml:space="preserve">Water to remove (kg/kg product)</t>
  </si>
  <si>
    <t xml:space="preserve">Part 6 ch 60, part 11 ch 44</t>
  </si>
  <si>
    <t xml:space="preserve">Incumbent / market price</t>
  </si>
  <si>
    <t xml:space="preserve">Market report, dated</t>
  </si>
  <si>
    <t xml:space="preserve">Evaporation energy (MJ/kg product)</t>
  </si>
  <si>
    <t xml:space="preserve">Problem D5</t>
  </si>
  <si>
    <t xml:space="preserve">Installed capital</t>
  </si>
  <si>
    <t xml:space="preserve">$M</t>
  </si>
  <si>
    <t xml:space="preserve">Quote or a scaling estimate</t>
  </si>
  <si>
    <t xml:space="preserve">Capital charge ($/kg)</t>
  </si>
  <si>
    <t xml:space="preserve">CRF × capex ÷ output</t>
  </si>
  <si>
    <t xml:space="preserve">Annual output</t>
  </si>
  <si>
    <t xml:space="preserve">t/yr</t>
  </si>
  <si>
    <t xml:space="preserve">Your plan</t>
  </si>
  <si>
    <t xml:space="preserve">Fixed cost ($/kg)</t>
  </si>
  <si>
    <t xml:space="preserve">Discount rate</t>
  </si>
  <si>
    <t xml:space="preserve">fraction</t>
  </si>
  <si>
    <t xml:space="preserve">Your institution — e.g. 0.10</t>
  </si>
  <si>
    <t xml:space="preserve">Capital recovery factor</t>
  </si>
  <si>
    <t xml:space="preserve">CRF = i(1+i)^n/((1+i)^n−1)</t>
  </si>
  <si>
    <t xml:space="preserve">Plant life</t>
  </si>
  <si>
    <t xml:space="preserve">years</t>
  </si>
  <si>
    <t xml:space="preserve">e.g. 20</t>
  </si>
  <si>
    <t xml:space="preserve">MPSP ($/kg)</t>
  </si>
  <si>
    <t xml:space="preserve">Fixed cost fraction of capex</t>
  </si>
  <si>
    <t xml:space="preserve">fraction/yr</t>
  </si>
  <si>
    <t xml:space="preserve">e.g. 0.06</t>
  </si>
  <si>
    <t xml:space="preserve">Clears the market?</t>
  </si>
  <si>
    <t xml:space="preserve">Compare with the incumbent price</t>
  </si>
  <si>
    <t xml:space="preserve">Utilities</t>
  </si>
  <si>
    <t xml:space="preserve">Your estimate</t>
  </si>
  <si>
    <t xml:space="preserve">Electricity price</t>
  </si>
  <si>
    <t xml:space="preserve">$/kWh</t>
  </si>
  <si>
    <t xml:space="preserve">Tariff, dated</t>
  </si>
  <si>
    <t xml:space="preserve">H2 cost for a CO2 route ($/kg PHB)</t>
  </si>
  <si>
    <t xml:space="preserve">Part 5 ch 57 — 22.3 kWh/kg at 1.5 ATP/H2</t>
  </si>
  <si>
    <t xml:space="preserve">Propionate / precursor price</t>
  </si>
  <si>
    <t xml:space="preserve">Supplier quote</t>
  </si>
  <si>
    <t xml:space="preserve">Precursor cost ($/kg product)</t>
  </si>
  <si>
    <t xml:space="preserve">Part 8 ch 31 — 1.34 g per g 6-dEB</t>
  </si>
  <si>
    <t xml:space="preserve">MPSP here = feedstock + capital charge + fixed + utilities + evaporation energy at $8/GJ. It is the condensed version of part 4 chapter 49, which also treats separation capital separately; use the full model for anything you publish.</t>
  </si>
  <si>
    <t xml:space="preserve">Sheet 9 — Provenance, so a number can be reproduced</t>
  </si>
  <si>
    <t xml:space="preserve">Part 10 chapter 36 and part 12 chapter 66: a result nobody can rerun is not a result.</t>
  </si>
  <si>
    <t xml:space="preserve">Item</t>
  </si>
  <si>
    <t xml:space="preserve">What to record — FILL</t>
  </si>
  <si>
    <t xml:space="preserve">Why</t>
  </si>
  <si>
    <t xml:space="preserve">Genome-scale model</t>
  </si>
  <si>
    <t xml:space="preserve">BiGG ID, version, date downloaded</t>
  </si>
  <si>
    <t xml:space="preserve">Different distributions of the same model differ in bounds</t>
  </si>
  <si>
    <t xml:space="preserve">Model medium</t>
  </si>
  <si>
    <t xml:space="preserve">The exact exchange bounds used, as a dictionary</t>
  </si>
  <si>
    <t xml:space="preserve">The commonest cause of two people getting different growth rates</t>
  </si>
  <si>
    <t xml:space="preserve">Objective reaction</t>
  </si>
  <si>
    <t xml:space="preserve">Which biomass reaction, with or without maintenance</t>
  </si>
  <si>
    <t xml:space="preserve">Model files often contain two biomass reactions</t>
  </si>
  <si>
    <t xml:space="preserve">COBRApy version</t>
  </si>
  <si>
    <t xml:space="preserve">Solver defaults change between releases</t>
  </si>
  <si>
    <t xml:space="preserve">Solver</t>
  </si>
  <si>
    <t xml:space="preserve">GLPK / Gurobi, and version</t>
  </si>
  <si>
    <t xml:space="preserve">Decides which alternative optimum is returned</t>
  </si>
  <si>
    <t xml:space="preserve">Python and package versions</t>
  </si>
  <si>
    <t xml:space="preserve">requirements.txt, pinned</t>
  </si>
  <si>
    <t xml:space="preserve">A notebook that ran in 2024 may not in 2026</t>
  </si>
  <si>
    <t xml:space="preserve">eQuilibrator settings</t>
  </si>
  <si>
    <t xml:space="preserve">pH, ionic strength, pMg used for every ΔG°′</t>
  </si>
  <si>
    <t xml:space="preserve">ΔG°′ is meaningless without them</t>
  </si>
  <si>
    <t xml:space="preserve">Sequencing reference</t>
  </si>
  <si>
    <t xml:space="preserve">Accession and assembly version</t>
  </si>
  <si>
    <t xml:space="preserve">Variant coordinates depend on it</t>
  </si>
  <si>
    <t xml:space="preserve">Analysis commit</t>
  </si>
  <si>
    <t xml:space="preserve">Git commit hash for the figures in the thesis</t>
  </si>
  <si>
    <t xml:space="preserve">Ties every figure to the code that made it</t>
  </si>
  <si>
    <t xml:space="preserve">Sheet 10 — Every claim I made from memory rather than from calculation</t>
  </si>
  <si>
    <t xml:space="preserve">These are the module's weak points by construction: I had no network access, so none could be checked. The arithmetic in the module was verified; these inputs were not.</t>
  </si>
  <si>
    <t xml:space="preserve">Claim as stated in the module</t>
  </si>
  <si>
    <t xml:space="preserve">Where it appears</t>
  </si>
  <si>
    <t xml:space="preserve">My source</t>
  </si>
  <si>
    <t xml:space="preserve">Where to verify</t>
  </si>
  <si>
    <t xml:space="preserve">Verified value — FILL</t>
  </si>
  <si>
    <t xml:space="preserve">Date checked — FILL</t>
  </si>
  <si>
    <t xml:space="preserve">Transcription-factor biosensors: FapR/malonyl-CoA, BenM/muconate, LysG/lysine, TtgR/naringenin, with their cross-reactions</t>
  </si>
  <si>
    <t xml:space="preserve">Part 8 ch 26 table</t>
  </si>
  <si>
    <t xml:space="preserve">recall</t>
  </si>
  <si>
    <t xml:space="preserve">Primary papers for each sensor; a biosensor review</t>
  </si>
  <si>
    <t xml:space="preserve">pLDDT confidence bands (&gt;90 very high, 70–90 confident, 50–70 low)</t>
  </si>
  <si>
    <t xml:space="preserve">Part 8 ch 29</t>
  </si>
  <si>
    <t xml:space="preserve">AlphaFold DB documentation</t>
  </si>
  <si>
    <t xml:space="preserve">Variant-effect zero-shot correlations of about 0.4–0.5</t>
  </si>
  <si>
    <t xml:space="preserve">ProteinGym leaderboard</t>
  </si>
  <si>
    <t xml:space="preserve">Wild-type E. coli mutation rate ~1e-10 per bp per generation</t>
  </si>
  <si>
    <t xml:space="preserve">Part 8 ch 28</t>
  </si>
  <si>
    <t xml:space="preserve">Primary literature; BioNumbers</t>
  </si>
  <si>
    <t xml:space="preserve">Efflux pump screen: 43 pumps, 7 biofuels, none useful for n-butanol or isopentanol</t>
  </si>
  <si>
    <t xml:space="preserve">Part 3 ch 45</t>
  </si>
  <si>
    <t xml:space="preserve">curriculum</t>
  </si>
  <si>
    <t xml:space="preserve">Dunlop et al., Mol. Syst. Biol. 2011</t>
  </si>
  <si>
    <t xml:space="preserve">Artemisinic acid 25 g/L</t>
  </si>
  <si>
    <t xml:space="preserve">Part 5 ch 53</t>
  </si>
  <si>
    <t xml:space="preserve">Paddon et al., Nature 496:528 (2013)</t>
  </si>
  <si>
    <t xml:space="preserve">Opioid titers of a few µg/L</t>
  </si>
  <si>
    <t xml:space="preserve">Galanie et al., Science 349:1095 (2015)</t>
  </si>
  <si>
    <t xml:space="preserve">Isobutanol 22 g/L at 86% of theoretical</t>
  </si>
  <si>
    <t xml:space="preserve">Part 5 ch 55</t>
  </si>
  <si>
    <t xml:space="preserve">Atsumi, Hanai &amp; Liao, Nature 451:86 (2008)</t>
  </si>
  <si>
    <t xml:space="preserve">1,4-BDO 18 g/L in the paper, &gt;100 g/L commercially</t>
  </si>
  <si>
    <t xml:space="preserve">Part 5 ch 54</t>
  </si>
  <si>
    <t xml:space="preserve">Yim et al., Nat. Chem. Biol. 7:445 (2011)</t>
  </si>
  <si>
    <t xml:space="preserve">Lysine &gt;100 g/L at ~0.55 g/g industrially</t>
  </si>
  <si>
    <t xml:space="preserve">Part 5 ch 54, part 6 ch 59</t>
  </si>
  <si>
    <t xml:space="preserve">A C. glutamicum systems-metabolic-engineering review</t>
  </si>
  <si>
    <t xml:space="preserve">18,214 recoded codons in a 4 Mb genome</t>
  </si>
  <si>
    <t xml:space="preserve">Part 7 ch 25</t>
  </si>
  <si>
    <t xml:space="preserve">Fredens et al., Nature 569:514 (2019)</t>
  </si>
  <si>
    <t xml:space="preserve">S. coelicolor genome 8.7 Mb at 72% GC</t>
  </si>
  <si>
    <t xml:space="preserve">Part 8 ch 31</t>
  </si>
  <si>
    <t xml:space="preserve">NCBI assembly record</t>
  </si>
  <si>
    <t xml:space="preserve">iJO1366 has about 2,583 reactions</t>
  </si>
  <si>
    <t xml:space="preserve">Part 10 ch 37</t>
  </si>
  <si>
    <t xml:space="preserve">BiGG Models</t>
  </si>
  <si>
    <t xml:space="preserve">E. coli core model grows at ~0.87 /h aerobically</t>
  </si>
  <si>
    <t xml:space="preserve">Part 10 ch 35</t>
  </si>
  <si>
    <t xml:space="preserve">BiGG core model, run it</t>
  </si>
  <si>
    <t xml:space="preserve">Oxygen saturation ~0.21 mM for air at 37 °C</t>
  </si>
  <si>
    <t xml:space="preserve">Henry constant table at your T</t>
  </si>
  <si>
    <t xml:space="preserve">Electrolysis at ~52–55 kWh per kg H2</t>
  </si>
  <si>
    <t xml:space="preserve">Part 5 ch 57</t>
  </si>
  <si>
    <t xml:space="preserve">A current electrolyser datasheet</t>
  </si>
  <si>
    <t xml:space="preserve">Glucose at $0.40/kg</t>
  </si>
  <si>
    <t xml:space="preserve">assumption</t>
  </si>
  <si>
    <t xml:space="preserve">A dated commodity index</t>
  </si>
  <si>
    <t xml:space="preserve">Rushton power number N_p ≈ 5</t>
  </si>
  <si>
    <t xml:space="preserve">A mixing handbook</t>
  </si>
  <si>
    <t xml:space="preserve">Bead effective diffusivity 1e-12 to 1e-10 m²/s for a solute in polymer</t>
  </si>
  <si>
    <t xml:space="preserve">Part 3 ch 46</t>
  </si>
  <si>
    <t xml:space="preserve">Literature for your specific matrix</t>
  </si>
  <si>
    <t xml:space="preserve">Light attenuation coefficient 0.15 m²/g</t>
  </si>
  <si>
    <t xml:space="preserve">Measure it for your strain; problem W1 uses 0.20</t>
  </si>
  <si>
    <t xml:space="preserve">Specific oxygen uptake 5 mmol/gDCW/h</t>
  </si>
  <si>
    <t xml:space="preserve">Measure by off-gas; every k_L a number scales with it</t>
  </si>
  <si>
    <t xml:space="preserve">LOD = 3.3σ/m and LOQ = 10σ/m</t>
  </si>
  <si>
    <t xml:space="preserve">Part 4 ch 50</t>
  </si>
  <si>
    <t xml:space="preserve">ICH Q2(R2) guideline</t>
  </si>
  <si>
    <t xml:space="preserve">ICMJE authorship criteria, all four required</t>
  </si>
  <si>
    <t xml:space="preserve">Part 12 ch 62</t>
  </si>
  <si>
    <t xml:space="preserve">icmje.org recommendations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</si>
</sst>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7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4" t="s">
        <v>22</v>
      </c>
    </row>
    <row r="2" customFormat="false" ht="15" hidden="false" customHeight="false" outlineLevel="0" collapsed="false">
      <c r="A2" s="5" t="s">
        <v>23</v>
      </c>
    </row>
    <row r="4" customFormat="false" ht="30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</row>
    <row r="5" customFormat="false" ht="23.85" hidden="false" customHeight="false" outlineLevel="0" collapsed="false">
      <c r="A5" s="7" t="s">
        <v>32</v>
      </c>
      <c r="B5" s="7" t="s">
        <v>33</v>
      </c>
      <c r="C5" s="8"/>
      <c r="D5" s="8"/>
      <c r="E5" s="7" t="n">
        <v>310</v>
      </c>
      <c r="F5" s="7" t="str">
        <f aca="false">IF(OR(C5="",D5="",E5=""),"",C5+0.008314*E5*LN(D5))</f>
        <v/>
      </c>
      <c r="G5" s="7" t="s">
        <v>34</v>
      </c>
      <c r="H5" s="7" t="s">
        <v>35</v>
      </c>
    </row>
    <row r="6" customFormat="false" ht="23.85" hidden="false" customHeight="false" outlineLevel="0" collapsed="false">
      <c r="A6" s="7" t="s">
        <v>36</v>
      </c>
      <c r="B6" s="7" t="s">
        <v>37</v>
      </c>
      <c r="C6" s="8"/>
      <c r="D6" s="8"/>
      <c r="E6" s="7" t="n">
        <v>310</v>
      </c>
      <c r="F6" s="7" t="str">
        <f aca="false">IF(OR(C6="",D6="",E6=""),"",C6+0.008314*E6*LN(D6))</f>
        <v/>
      </c>
      <c r="G6" s="7" t="s">
        <v>38</v>
      </c>
      <c r="H6" s="7" t="s">
        <v>39</v>
      </c>
    </row>
    <row r="7" customFormat="false" ht="23.85" hidden="false" customHeight="false" outlineLevel="0" collapsed="false">
      <c r="A7" s="7" t="s">
        <v>40</v>
      </c>
      <c r="B7" s="7" t="s">
        <v>41</v>
      </c>
      <c r="C7" s="8"/>
      <c r="D7" s="8"/>
      <c r="E7" s="7" t="n">
        <v>310</v>
      </c>
      <c r="F7" s="7" t="str">
        <f aca="false">IF(OR(C7="",D7="",E7=""),"",C7+0.008314*E7*LN(D7))</f>
        <v/>
      </c>
      <c r="G7" s="7" t="s">
        <v>42</v>
      </c>
      <c r="H7" s="7" t="s">
        <v>43</v>
      </c>
    </row>
    <row r="8" customFormat="false" ht="23.85" hidden="false" customHeight="false" outlineLevel="0" collapsed="false">
      <c r="A8" s="7" t="s">
        <v>44</v>
      </c>
      <c r="B8" s="7" t="s">
        <v>45</v>
      </c>
      <c r="C8" s="8"/>
      <c r="D8" s="8"/>
      <c r="E8" s="7" t="n">
        <v>310</v>
      </c>
      <c r="F8" s="7" t="str">
        <f aca="false">IF(OR(C8="",D8="",E8=""),"",C8+0.008314*E8*LN(D8))</f>
        <v/>
      </c>
      <c r="G8" s="7" t="s">
        <v>46</v>
      </c>
      <c r="H8" s="7" t="s">
        <v>39</v>
      </c>
    </row>
    <row r="9" customFormat="false" ht="15" hidden="false" customHeight="false" outlineLevel="0" collapsed="false">
      <c r="A9" s="7" t="s">
        <v>47</v>
      </c>
      <c r="B9" s="7" t="s">
        <v>48</v>
      </c>
      <c r="C9" s="8"/>
      <c r="D9" s="8"/>
      <c r="E9" s="7" t="n">
        <v>310</v>
      </c>
      <c r="F9" s="7" t="str">
        <f aca="false">IF(OR(C9="",D9="",E9=""),"",C9+0.008314*E9*LN(D9))</f>
        <v/>
      </c>
      <c r="G9" s="7" t="s">
        <v>46</v>
      </c>
      <c r="H9" s="7" t="s">
        <v>39</v>
      </c>
    </row>
    <row r="10" customFormat="false" ht="23.85" hidden="false" customHeight="false" outlineLevel="0" collapsed="false">
      <c r="A10" s="7" t="s">
        <v>49</v>
      </c>
      <c r="B10" s="7" t="s">
        <v>50</v>
      </c>
      <c r="C10" s="8"/>
      <c r="D10" s="8"/>
      <c r="E10" s="7" t="n">
        <v>310</v>
      </c>
      <c r="F10" s="7" t="str">
        <f aca="false">IF(OR(C10="",D10="",E10=""),"",C10+0.008314*E10*LN(D10))</f>
        <v/>
      </c>
      <c r="G10" s="7" t="s">
        <v>51</v>
      </c>
      <c r="H10" s="7" t="s">
        <v>52</v>
      </c>
    </row>
    <row r="11" customFormat="false" ht="23.85" hidden="false" customHeight="false" outlineLevel="0" collapsed="false">
      <c r="A11" s="7" t="s">
        <v>53</v>
      </c>
      <c r="B11" s="7" t="s">
        <v>54</v>
      </c>
      <c r="C11" s="8"/>
      <c r="D11" s="8"/>
      <c r="E11" s="7" t="n">
        <v>310</v>
      </c>
      <c r="F11" s="7" t="str">
        <f aca="false">IF(OR(C11="",D11="",E11=""),"",C11+0.008314*E11*LN(D11))</f>
        <v/>
      </c>
      <c r="G11" s="7" t="s">
        <v>55</v>
      </c>
      <c r="H11" s="7" t="s">
        <v>56</v>
      </c>
    </row>
    <row r="12" customFormat="false" ht="23.85" hidden="false" customHeight="false" outlineLevel="0" collapsed="false">
      <c r="A12" s="7" t="s">
        <v>57</v>
      </c>
      <c r="B12" s="7" t="s">
        <v>58</v>
      </c>
      <c r="C12" s="8"/>
      <c r="D12" s="8"/>
      <c r="E12" s="7" t="n">
        <v>310</v>
      </c>
      <c r="F12" s="7" t="str">
        <f aca="false">IF(OR(C12="",D12="",E12=""),"",C12+0.008314*E12*LN(D12))</f>
        <v/>
      </c>
      <c r="G12" s="7" t="s">
        <v>59</v>
      </c>
      <c r="H12" s="7" t="s">
        <v>52</v>
      </c>
    </row>
    <row r="13" customFormat="false" ht="23.85" hidden="false" customHeight="false" outlineLevel="0" collapsed="false">
      <c r="A13" s="7" t="s">
        <v>60</v>
      </c>
      <c r="B13" s="7" t="s">
        <v>61</v>
      </c>
      <c r="C13" s="8"/>
      <c r="D13" s="8"/>
      <c r="E13" s="7" t="n">
        <v>310</v>
      </c>
      <c r="F13" s="7" t="str">
        <f aca="false">IF(OR(C13="",D13="",E13=""),"",C13+0.008314*E13*LN(D13))</f>
        <v/>
      </c>
      <c r="G13" s="7" t="s">
        <v>62</v>
      </c>
      <c r="H13" s="7" t="s">
        <v>52</v>
      </c>
    </row>
    <row r="14" customFormat="false" ht="23.85" hidden="false" customHeight="false" outlineLevel="0" collapsed="false">
      <c r="A14" s="7" t="s">
        <v>63</v>
      </c>
      <c r="B14" s="7" t="s">
        <v>64</v>
      </c>
      <c r="C14" s="8"/>
      <c r="D14" s="8"/>
      <c r="E14" s="7" t="n">
        <v>310</v>
      </c>
      <c r="F14" s="7" t="str">
        <f aca="false">IF(OR(C14="",D14="",E14=""),"",C14+0.008314*E14*LN(D14))</f>
        <v/>
      </c>
      <c r="G14" s="7" t="s">
        <v>65</v>
      </c>
      <c r="H14" s="7" t="s">
        <v>52</v>
      </c>
    </row>
    <row r="15" customFormat="false" ht="23.85" hidden="false" customHeight="false" outlineLevel="0" collapsed="false">
      <c r="A15" s="7" t="s">
        <v>66</v>
      </c>
      <c r="B15" s="7" t="s">
        <v>67</v>
      </c>
      <c r="C15" s="8"/>
      <c r="D15" s="8"/>
      <c r="E15" s="7" t="n">
        <v>310</v>
      </c>
      <c r="F15" s="7" t="str">
        <f aca="false">IF(OR(C15="",D15="",E15=""),"",C15+0.008314*E15*LN(D15))</f>
        <v/>
      </c>
      <c r="G15" s="7" t="s">
        <v>68</v>
      </c>
      <c r="H15" s="7" t="s">
        <v>52</v>
      </c>
    </row>
    <row r="16" customFormat="false" ht="15" hidden="false" customHeight="false" outlineLevel="0" collapsed="false">
      <c r="A16" s="7" t="s">
        <v>69</v>
      </c>
      <c r="B16" s="7" t="s">
        <v>70</v>
      </c>
      <c r="C16" s="8"/>
      <c r="D16" s="8"/>
      <c r="E16" s="7" t="n">
        <v>310</v>
      </c>
      <c r="F16" s="7" t="str">
        <f aca="false">IF(OR(C16="",D16="",E16=""),"",C16+0.008314*E16*LN(D16))</f>
        <v/>
      </c>
      <c r="G16" s="7" t="s">
        <v>71</v>
      </c>
      <c r="H16" s="7" t="s">
        <v>52</v>
      </c>
    </row>
    <row r="17" customFormat="false" ht="23.85" hidden="false" customHeight="false" outlineLevel="0" collapsed="false">
      <c r="A17" s="7" t="s">
        <v>72</v>
      </c>
      <c r="B17" s="7"/>
      <c r="C17" s="8"/>
      <c r="D17" s="8"/>
      <c r="E17" s="7" t="n">
        <v>310</v>
      </c>
      <c r="F17" s="7" t="str">
        <f aca="false">IF(OR(C17="",D17="",E17=""),"",C17+0.008314*E17*LN(D17))</f>
        <v/>
      </c>
      <c r="G17" s="7" t="s">
        <v>73</v>
      </c>
      <c r="H17" s="7" t="s">
        <v>52</v>
      </c>
    </row>
    <row r="18" customFormat="false" ht="15" hidden="false" customHeight="false" outlineLevel="0" collapsed="false">
      <c r="A18" s="7" t="s">
        <v>74</v>
      </c>
      <c r="B18" s="7"/>
      <c r="C18" s="8"/>
      <c r="D18" s="8"/>
      <c r="E18" s="7" t="n">
        <v>310</v>
      </c>
      <c r="F18" s="7" t="str">
        <f aca="false">IF(OR(C18="",D18="",E18=""),"",C18+0.008314*E18*LN(D18))</f>
        <v/>
      </c>
      <c r="G18" s="7"/>
      <c r="H18" s="7" t="s">
        <v>52</v>
      </c>
    </row>
    <row r="19" customFormat="false" ht="15" hidden="false" customHeight="false" outlineLevel="0" collapsed="false">
      <c r="A19" s="7" t="s">
        <v>75</v>
      </c>
      <c r="B19" s="7"/>
      <c r="C19" s="8"/>
      <c r="D19" s="8"/>
      <c r="E19" s="7" t="n">
        <v>310</v>
      </c>
      <c r="F19" s="7" t="str">
        <f aca="false">IF(OR(C19="",D19="",E19=""),"",C19+0.008314*E19*LN(D19))</f>
        <v/>
      </c>
      <c r="G19" s="7"/>
      <c r="H19" s="7" t="s">
        <v>52</v>
      </c>
    </row>
    <row r="20" customFormat="false" ht="15" hidden="false" customHeight="false" outlineLevel="0" collapsed="false">
      <c r="A20" s="7" t="s">
        <v>76</v>
      </c>
      <c r="B20" s="7"/>
      <c r="C20" s="8"/>
      <c r="D20" s="8"/>
      <c r="E20" s="7" t="n">
        <v>310</v>
      </c>
      <c r="F20" s="7" t="str">
        <f aca="false">IF(OR(C20="",D20="",E20=""),"",C20+0.008314*E20*LN(D20))</f>
        <v/>
      </c>
      <c r="G20" s="7"/>
      <c r="H20" s="7" t="s">
        <v>52</v>
      </c>
    </row>
    <row r="21" customFormat="false" ht="15" hidden="false" customHeight="false" outlineLevel="0" collapsed="false">
      <c r="A21" s="7" t="s">
        <v>77</v>
      </c>
      <c r="B21" s="7"/>
      <c r="C21" s="8"/>
      <c r="D21" s="8"/>
      <c r="E21" s="7" t="n">
        <v>310</v>
      </c>
      <c r="F21" s="7" t="str">
        <f aca="false">IF(OR(C21="",D21="",E21=""),"",C21+0.008314*E21*LN(D21))</f>
        <v/>
      </c>
      <c r="G21" s="7" t="s">
        <v>78</v>
      </c>
      <c r="H21" s="7" t="s">
        <v>52</v>
      </c>
    </row>
    <row r="23" customFormat="false" ht="15" hidden="false" customHeight="false" outlineLevel="0" collapsed="false">
      <c r="A23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4" t="s">
        <v>80</v>
      </c>
    </row>
    <row r="2" customFormat="false" ht="15" hidden="false" customHeight="false" outlineLevel="0" collapsed="false">
      <c r="A2" s="5" t="s">
        <v>81</v>
      </c>
    </row>
    <row r="4" customFormat="false" ht="30" hidden="false" customHeight="true" outlineLevel="0" collapsed="false">
      <c r="A4" s="6" t="s">
        <v>82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31</v>
      </c>
    </row>
    <row r="5" customFormat="false" ht="15" hidden="false" customHeight="false" outlineLevel="0" collapsed="false">
      <c r="A5" s="7" t="s">
        <v>88</v>
      </c>
      <c r="B5" s="7" t="s">
        <v>89</v>
      </c>
      <c r="C5" s="7" t="s">
        <v>90</v>
      </c>
      <c r="D5" s="8"/>
      <c r="E5" s="8"/>
      <c r="F5" s="7" t="s">
        <v>91</v>
      </c>
      <c r="G5" s="7" t="s">
        <v>92</v>
      </c>
    </row>
    <row r="6" customFormat="false" ht="15" hidden="false" customHeight="false" outlineLevel="0" collapsed="false">
      <c r="A6" s="7" t="s">
        <v>93</v>
      </c>
      <c r="B6" s="7" t="s">
        <v>94</v>
      </c>
      <c r="C6" s="7" t="s">
        <v>95</v>
      </c>
      <c r="D6" s="8"/>
      <c r="E6" s="8"/>
      <c r="F6" s="7" t="s">
        <v>96</v>
      </c>
      <c r="G6" s="7" t="s">
        <v>97</v>
      </c>
    </row>
    <row r="7" customFormat="false" ht="15" hidden="false" customHeight="false" outlineLevel="0" collapsed="false">
      <c r="A7" s="7" t="s">
        <v>98</v>
      </c>
      <c r="B7" s="7" t="s">
        <v>99</v>
      </c>
      <c r="C7" s="7" t="s">
        <v>95</v>
      </c>
      <c r="D7" s="8"/>
      <c r="E7" s="8"/>
      <c r="F7" s="7" t="s">
        <v>100</v>
      </c>
      <c r="G7" s="7" t="s">
        <v>101</v>
      </c>
    </row>
    <row r="8" customFormat="false" ht="15" hidden="false" customHeight="false" outlineLevel="0" collapsed="false">
      <c r="A8" s="7" t="s">
        <v>102</v>
      </c>
      <c r="B8" s="7" t="s">
        <v>103</v>
      </c>
      <c r="C8" s="7" t="s">
        <v>95</v>
      </c>
      <c r="D8" s="8"/>
      <c r="E8" s="8"/>
      <c r="F8" s="7" t="s">
        <v>104</v>
      </c>
      <c r="G8" s="7" t="s">
        <v>105</v>
      </c>
    </row>
    <row r="9" customFormat="false" ht="15" hidden="false" customHeight="false" outlineLevel="0" collapsed="false">
      <c r="A9" s="7" t="s">
        <v>106</v>
      </c>
      <c r="B9" s="7" t="s">
        <v>107</v>
      </c>
      <c r="C9" s="7" t="s">
        <v>95</v>
      </c>
      <c r="D9" s="8"/>
      <c r="E9" s="8"/>
      <c r="F9" s="7" t="s">
        <v>108</v>
      </c>
      <c r="G9" s="7" t="s">
        <v>109</v>
      </c>
    </row>
    <row r="10" customFormat="false" ht="15" hidden="false" customHeight="false" outlineLevel="0" collapsed="false">
      <c r="A10" s="7" t="s">
        <v>110</v>
      </c>
      <c r="B10" s="7" t="s">
        <v>111</v>
      </c>
      <c r="C10" s="7" t="s">
        <v>112</v>
      </c>
      <c r="D10" s="8"/>
      <c r="E10" s="8"/>
      <c r="F10" s="7" t="s">
        <v>113</v>
      </c>
      <c r="G10" s="7" t="s">
        <v>114</v>
      </c>
    </row>
    <row r="11" customFormat="false" ht="23.85" hidden="false" customHeight="false" outlineLevel="0" collapsed="false">
      <c r="A11" s="7" t="s">
        <v>115</v>
      </c>
      <c r="B11" s="7" t="s">
        <v>116</v>
      </c>
      <c r="C11" s="7" t="s">
        <v>95</v>
      </c>
      <c r="D11" s="8"/>
      <c r="E11" s="8"/>
      <c r="F11" s="7" t="s">
        <v>117</v>
      </c>
      <c r="G11" s="7" t="s">
        <v>118</v>
      </c>
    </row>
    <row r="12" customFormat="false" ht="23.85" hidden="false" customHeight="false" outlineLevel="0" collapsed="false">
      <c r="A12" s="7" t="s">
        <v>119</v>
      </c>
      <c r="B12" s="7" t="s">
        <v>120</v>
      </c>
      <c r="C12" s="7" t="s">
        <v>121</v>
      </c>
      <c r="D12" s="8"/>
      <c r="E12" s="8"/>
      <c r="F12" s="7" t="s">
        <v>122</v>
      </c>
      <c r="G12" s="7" t="s">
        <v>123</v>
      </c>
    </row>
    <row r="13" customFormat="false" ht="15" hidden="false" customHeight="false" outlineLevel="0" collapsed="false">
      <c r="A13" s="7" t="s">
        <v>124</v>
      </c>
      <c r="B13" s="7" t="s">
        <v>111</v>
      </c>
      <c r="C13" s="7" t="s">
        <v>95</v>
      </c>
      <c r="D13" s="8"/>
      <c r="E13" s="8"/>
      <c r="F13" s="7" t="s">
        <v>125</v>
      </c>
      <c r="G13" s="7" t="s">
        <v>126</v>
      </c>
    </row>
    <row r="14" customFormat="false" ht="15" hidden="false" customHeight="false" outlineLevel="0" collapsed="false">
      <c r="A14" s="7" t="s">
        <v>127</v>
      </c>
      <c r="B14" s="7" t="s">
        <v>128</v>
      </c>
      <c r="C14" s="7" t="s">
        <v>95</v>
      </c>
      <c r="D14" s="8"/>
      <c r="E14" s="8"/>
      <c r="F14" s="7" t="s">
        <v>129</v>
      </c>
      <c r="G14" s="7" t="s">
        <v>130</v>
      </c>
    </row>
    <row r="15" customFormat="false" ht="15" hidden="false" customHeight="false" outlineLevel="0" collapsed="false">
      <c r="A15" s="7" t="s">
        <v>131</v>
      </c>
      <c r="B15" s="7" t="s">
        <v>132</v>
      </c>
      <c r="C15" s="7" t="s">
        <v>95</v>
      </c>
      <c r="D15" s="8"/>
      <c r="E15" s="8"/>
      <c r="F15" s="7" t="s">
        <v>133</v>
      </c>
      <c r="G15" s="7" t="s">
        <v>134</v>
      </c>
    </row>
    <row r="16" customFormat="false" ht="15" hidden="false" customHeight="false" outlineLevel="0" collapsed="false">
      <c r="A16" s="7" t="s">
        <v>135</v>
      </c>
      <c r="B16" s="7" t="s">
        <v>136</v>
      </c>
      <c r="C16" s="7" t="s">
        <v>95</v>
      </c>
      <c r="D16" s="8"/>
      <c r="E16" s="8"/>
      <c r="F16" s="7" t="s">
        <v>133</v>
      </c>
      <c r="G16" s="7" t="s">
        <v>137</v>
      </c>
    </row>
    <row r="17" customFormat="false" ht="23.85" hidden="false" customHeight="false" outlineLevel="0" collapsed="false">
      <c r="A17" s="7" t="s">
        <v>138</v>
      </c>
      <c r="B17" s="7" t="s">
        <v>139</v>
      </c>
      <c r="C17" s="7" t="s">
        <v>140</v>
      </c>
      <c r="D17" s="8"/>
      <c r="E17" s="8"/>
      <c r="F17" s="7" t="s">
        <v>141</v>
      </c>
      <c r="G17" s="7" t="s">
        <v>142</v>
      </c>
    </row>
    <row r="18" customFormat="false" ht="15" hidden="false" customHeight="false" outlineLevel="0" collapsed="false">
      <c r="A18" s="7" t="s">
        <v>143</v>
      </c>
      <c r="B18" s="7" t="s">
        <v>144</v>
      </c>
      <c r="C18" s="7" t="s">
        <v>145</v>
      </c>
      <c r="D18" s="8"/>
      <c r="E18" s="8"/>
      <c r="F18" s="7" t="s">
        <v>146</v>
      </c>
      <c r="G18" s="7" t="s">
        <v>147</v>
      </c>
    </row>
    <row r="19" customFormat="false" ht="15" hidden="false" customHeight="false" outlineLevel="0" collapsed="false">
      <c r="A19" s="7" t="s">
        <v>148</v>
      </c>
      <c r="B19" s="7" t="s">
        <v>149</v>
      </c>
      <c r="C19" s="7" t="s">
        <v>150</v>
      </c>
      <c r="D19" s="8"/>
      <c r="E19" s="8"/>
      <c r="F19" s="7" t="s">
        <v>151</v>
      </c>
      <c r="G19" s="7" t="s">
        <v>52</v>
      </c>
    </row>
    <row r="20" customFormat="false" ht="15" hidden="false" customHeight="false" outlineLevel="0" collapsed="false">
      <c r="A20" s="7" t="s">
        <v>152</v>
      </c>
      <c r="B20" s="7" t="s">
        <v>149</v>
      </c>
      <c r="C20" s="7" t="s">
        <v>150</v>
      </c>
      <c r="D20" s="8"/>
      <c r="E20" s="8"/>
      <c r="F20" s="7" t="s">
        <v>153</v>
      </c>
      <c r="G20" s="7" t="s">
        <v>52</v>
      </c>
    </row>
    <row r="21" customFormat="false" ht="15" hidden="false" customHeight="false" outlineLevel="0" collapsed="false">
      <c r="A21" s="7" t="s">
        <v>154</v>
      </c>
      <c r="B21" s="7" t="s">
        <v>149</v>
      </c>
      <c r="C21" s="7" t="s">
        <v>150</v>
      </c>
      <c r="D21" s="8"/>
      <c r="E21" s="8"/>
      <c r="F21" s="7" t="s">
        <v>155</v>
      </c>
      <c r="G21" s="7" t="s">
        <v>52</v>
      </c>
    </row>
    <row r="22" customFormat="false" ht="15" hidden="false" customHeight="false" outlineLevel="0" collapsed="false">
      <c r="A22" s="7" t="s">
        <v>156</v>
      </c>
      <c r="B22" s="7" t="s">
        <v>149</v>
      </c>
      <c r="C22" s="7" t="s">
        <v>150</v>
      </c>
      <c r="D22" s="8"/>
      <c r="E22" s="8"/>
      <c r="F22" s="7" t="s">
        <v>157</v>
      </c>
      <c r="G22" s="7" t="s">
        <v>52</v>
      </c>
    </row>
    <row r="23" customFormat="false" ht="15" hidden="false" customHeight="false" outlineLevel="0" collapsed="false">
      <c r="A23" s="7" t="s">
        <v>158</v>
      </c>
      <c r="B23" s="7" t="s">
        <v>149</v>
      </c>
      <c r="C23" s="7" t="s">
        <v>159</v>
      </c>
      <c r="D23" s="8"/>
      <c r="E23" s="8"/>
      <c r="F23" s="7" t="s">
        <v>160</v>
      </c>
      <c r="G23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6.15" hidden="false" customHeight="false" outlineLevel="0" collapsed="false">
      <c r="A1" s="4" t="s">
        <v>161</v>
      </c>
    </row>
    <row r="2" customFormat="false" ht="15" hidden="false" customHeight="false" outlineLevel="0" collapsed="false">
      <c r="A2" s="5" t="s">
        <v>162</v>
      </c>
    </row>
    <row r="4" customFormat="false" ht="30" hidden="false" customHeight="true" outlineLevel="0" collapsed="false">
      <c r="A4" s="6" t="s">
        <v>163</v>
      </c>
      <c r="B4" s="6" t="s">
        <v>164</v>
      </c>
      <c r="C4" s="6" t="s">
        <v>165</v>
      </c>
      <c r="D4" s="6" t="s">
        <v>166</v>
      </c>
      <c r="E4" s="6" t="s">
        <v>167</v>
      </c>
      <c r="F4" s="6" t="s">
        <v>168</v>
      </c>
      <c r="G4" s="6" t="s">
        <v>169</v>
      </c>
      <c r="H4" s="6" t="s">
        <v>170</v>
      </c>
      <c r="I4" s="6" t="s">
        <v>171</v>
      </c>
    </row>
    <row r="5" customFormat="false" ht="23.85" hidden="false" customHeight="false" outlineLevel="0" collapsed="false">
      <c r="A5" s="7" t="s">
        <v>172</v>
      </c>
      <c r="B5" s="7"/>
      <c r="C5" s="8"/>
      <c r="D5" s="8"/>
      <c r="E5" s="8"/>
      <c r="F5" s="8"/>
      <c r="G5" s="8"/>
      <c r="H5" s="7" t="str">
        <f aca="false">IF(OR(C5="",E5="",G5=""),"",100*(G5/3600000)*(E5*1000)/(C5*0.5))</f>
        <v/>
      </c>
      <c r="I5" s="7" t="s">
        <v>173</v>
      </c>
    </row>
    <row r="6" customFormat="false" ht="15" hidden="false" customHeight="false" outlineLevel="0" collapsed="false">
      <c r="A6" s="7" t="s">
        <v>174</v>
      </c>
      <c r="B6" s="7"/>
      <c r="C6" s="8"/>
      <c r="D6" s="8"/>
      <c r="E6" s="8"/>
      <c r="F6" s="8"/>
      <c r="G6" s="8"/>
      <c r="H6" s="7" t="str">
        <f aca="false">IF(OR(C6="",E6="",G6=""),"",100*(G6/3600000)*(E6*1000)/(C6*0.5))</f>
        <v/>
      </c>
      <c r="I6" s="7"/>
    </row>
    <row r="7" customFormat="false" ht="15" hidden="false" customHeight="false" outlineLevel="0" collapsed="false">
      <c r="A7" s="7" t="s">
        <v>175</v>
      </c>
      <c r="B7" s="7"/>
      <c r="C7" s="8"/>
      <c r="D7" s="8"/>
      <c r="E7" s="8"/>
      <c r="F7" s="8"/>
      <c r="G7" s="8"/>
      <c r="H7" s="7" t="str">
        <f aca="false">IF(OR(C7="",E7="",G7=""),"",100*(G7/3600000)*(E7*1000)/(C7*0.5))</f>
        <v/>
      </c>
      <c r="I7" s="7"/>
    </row>
    <row r="8" customFormat="false" ht="15" hidden="false" customHeight="false" outlineLevel="0" collapsed="false">
      <c r="A8" s="7" t="s">
        <v>176</v>
      </c>
      <c r="B8" s="7"/>
      <c r="C8" s="8"/>
      <c r="D8" s="8"/>
      <c r="E8" s="8"/>
      <c r="F8" s="8"/>
      <c r="G8" s="8"/>
      <c r="H8" s="7" t="str">
        <f aca="false">IF(OR(C8="",E8="",G8=""),"",100*(G8/3600000)*(E8*1000)/(C8*0.5))</f>
        <v/>
      </c>
      <c r="I8" s="7"/>
    </row>
    <row r="9" customFormat="false" ht="15" hidden="false" customHeight="false" outlineLevel="0" collapsed="false">
      <c r="A9" s="7" t="s">
        <v>177</v>
      </c>
      <c r="B9" s="7"/>
      <c r="C9" s="8"/>
      <c r="D9" s="8"/>
      <c r="E9" s="8"/>
      <c r="F9" s="8"/>
      <c r="G9" s="8"/>
      <c r="H9" s="7" t="str">
        <f aca="false">IF(OR(C9="",E9="",G9=""),"",100*(G9/3600000)*(E9*1000)/(C9*0.5))</f>
        <v/>
      </c>
      <c r="I9" s="7"/>
    </row>
    <row r="10" customFormat="false" ht="23.85" hidden="false" customHeight="false" outlineLevel="0" collapsed="false">
      <c r="A10" s="7" t="s">
        <v>178</v>
      </c>
      <c r="B10" s="7"/>
      <c r="C10" s="8"/>
      <c r="D10" s="8"/>
      <c r="E10" s="8"/>
      <c r="F10" s="8"/>
      <c r="G10" s="8"/>
      <c r="H10" s="7" t="str">
        <f aca="false">IF(OR(C10="",E10="",G10=""),"",100*(G10/3600000)*(E10*1000)/(C10*0.5))</f>
        <v/>
      </c>
      <c r="I10" s="7" t="s">
        <v>179</v>
      </c>
    </row>
    <row r="11" customFormat="false" ht="23.85" hidden="false" customHeight="false" outlineLevel="0" collapsed="false">
      <c r="A11" s="7" t="s">
        <v>180</v>
      </c>
      <c r="B11" s="7"/>
      <c r="C11" s="8"/>
      <c r="D11" s="8"/>
      <c r="E11" s="8"/>
      <c r="F11" s="8"/>
      <c r="G11" s="8"/>
      <c r="H11" s="7" t="str">
        <f aca="false">IF(OR(C11="",E11="",G11=""),"",100*(G11/3600000)*(E11*1000)/(C11*0.5))</f>
        <v/>
      </c>
      <c r="I11" s="7" t="s">
        <v>181</v>
      </c>
    </row>
    <row r="12" customFormat="false" ht="23.85" hidden="false" customHeight="false" outlineLevel="0" collapsed="false">
      <c r="A12" s="7" t="s">
        <v>182</v>
      </c>
      <c r="B12" s="7"/>
      <c r="C12" s="8"/>
      <c r="D12" s="8"/>
      <c r="E12" s="8"/>
      <c r="F12" s="8"/>
      <c r="G12" s="8"/>
      <c r="H12" s="7" t="str">
        <f aca="false">IF(OR(C12="",E12="",G12=""),"",100*(G12/3600000)*(E12*1000)/(C12*0.5))</f>
        <v/>
      </c>
      <c r="I12" s="7" t="s">
        <v>183</v>
      </c>
    </row>
    <row r="13" customFormat="false" ht="23.85" hidden="false" customHeight="false" outlineLevel="0" collapsed="false">
      <c r="A13" s="7" t="s">
        <v>184</v>
      </c>
      <c r="B13" s="7"/>
      <c r="C13" s="8"/>
      <c r="D13" s="8"/>
      <c r="E13" s="8"/>
      <c r="F13" s="8"/>
      <c r="G13" s="8"/>
      <c r="H13" s="7" t="str">
        <f aca="false">IF(OR(C13="",E13="",G13=""),"",100*(G13/3600000)*(E13*1000)/(C13*0.5))</f>
        <v/>
      </c>
      <c r="I13" s="7" t="s">
        <v>185</v>
      </c>
    </row>
    <row r="14" customFormat="false" ht="23.85" hidden="false" customHeight="false" outlineLevel="0" collapsed="false">
      <c r="A14" s="7" t="s">
        <v>186</v>
      </c>
      <c r="B14" s="7"/>
      <c r="C14" s="8"/>
      <c r="D14" s="8"/>
      <c r="E14" s="8"/>
      <c r="F14" s="8"/>
      <c r="G14" s="8"/>
      <c r="H14" s="7" t="str">
        <f aca="false">IF(OR(C14="",E14="",G14=""),"",100*(G14/3600000)*(E14*1000)/(C14*0.5))</f>
        <v/>
      </c>
      <c r="I14" s="7" t="s">
        <v>187</v>
      </c>
    </row>
    <row r="16" customFormat="false" ht="15" hidden="false" customHeight="false" outlineLevel="0" collapsed="false">
      <c r="A16" s="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4" t="s">
        <v>189</v>
      </c>
    </row>
    <row r="2" customFormat="false" ht="15" hidden="false" customHeight="false" outlineLevel="0" collapsed="false">
      <c r="A2" s="5" t="s">
        <v>190</v>
      </c>
    </row>
    <row r="4" customFormat="false" ht="30" hidden="false" customHeight="true" outlineLevel="0" collapsed="false">
      <c r="A4" s="6" t="s">
        <v>191</v>
      </c>
      <c r="B4" s="6" t="s">
        <v>83</v>
      </c>
      <c r="C4" s="6" t="s">
        <v>84</v>
      </c>
      <c r="D4" s="6" t="s">
        <v>85</v>
      </c>
      <c r="E4" s="6" t="s">
        <v>192</v>
      </c>
      <c r="F4" s="6" t="s">
        <v>193</v>
      </c>
      <c r="G4" s="6" t="s">
        <v>31</v>
      </c>
    </row>
    <row r="5" customFormat="false" ht="15" hidden="false" customHeight="false" outlineLevel="0" collapsed="false">
      <c r="A5" s="7" t="s">
        <v>194</v>
      </c>
      <c r="B5" s="7" t="s">
        <v>195</v>
      </c>
      <c r="C5" s="7" t="s">
        <v>196</v>
      </c>
      <c r="D5" s="8"/>
      <c r="E5" s="8"/>
      <c r="F5" s="7" t="s">
        <v>197</v>
      </c>
      <c r="G5" s="7" t="s">
        <v>198</v>
      </c>
    </row>
    <row r="6" customFormat="false" ht="15" hidden="false" customHeight="false" outlineLevel="0" collapsed="false">
      <c r="A6" s="7" t="s">
        <v>199</v>
      </c>
      <c r="B6" s="7" t="s">
        <v>195</v>
      </c>
      <c r="C6" s="7" t="s">
        <v>196</v>
      </c>
      <c r="D6" s="8"/>
      <c r="E6" s="8"/>
      <c r="F6" s="7" t="s">
        <v>200</v>
      </c>
      <c r="G6" s="7" t="s">
        <v>201</v>
      </c>
    </row>
    <row r="7" customFormat="false" ht="15" hidden="false" customHeight="false" outlineLevel="0" collapsed="false">
      <c r="A7" s="7" t="s">
        <v>202</v>
      </c>
      <c r="B7" s="7" t="s">
        <v>195</v>
      </c>
      <c r="C7" s="7" t="s">
        <v>150</v>
      </c>
      <c r="D7" s="8"/>
      <c r="E7" s="8"/>
      <c r="F7" s="7" t="s">
        <v>203</v>
      </c>
      <c r="G7" s="7" t="s">
        <v>52</v>
      </c>
    </row>
    <row r="8" customFormat="false" ht="15" hidden="false" customHeight="false" outlineLevel="0" collapsed="false">
      <c r="A8" s="7" t="s">
        <v>204</v>
      </c>
      <c r="B8" s="7" t="s">
        <v>195</v>
      </c>
      <c r="C8" s="7" t="s">
        <v>150</v>
      </c>
      <c r="D8" s="8"/>
      <c r="E8" s="8"/>
      <c r="F8" s="7" t="s">
        <v>205</v>
      </c>
      <c r="G8" s="7" t="s">
        <v>52</v>
      </c>
    </row>
    <row r="9" customFormat="false" ht="15" hidden="false" customHeight="false" outlineLevel="0" collapsed="false">
      <c r="A9" s="7" t="s">
        <v>206</v>
      </c>
      <c r="B9" s="7" t="s">
        <v>149</v>
      </c>
      <c r="C9" s="7" t="s">
        <v>150</v>
      </c>
      <c r="D9" s="8"/>
      <c r="E9" s="8"/>
      <c r="F9" s="7" t="s">
        <v>207</v>
      </c>
      <c r="G9" s="7" t="s">
        <v>52</v>
      </c>
    </row>
    <row r="10" customFormat="false" ht="15" hidden="false" customHeight="false" outlineLevel="0" collapsed="false">
      <c r="A10" s="7" t="s">
        <v>208</v>
      </c>
      <c r="B10" s="7" t="s">
        <v>149</v>
      </c>
      <c r="C10" s="7" t="s">
        <v>150</v>
      </c>
      <c r="D10" s="8"/>
      <c r="E10" s="8"/>
      <c r="F10" s="7" t="s">
        <v>209</v>
      </c>
      <c r="G10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16.15" hidden="false" customHeight="false" outlineLevel="0" collapsed="false">
      <c r="A1" s="4" t="s">
        <v>210</v>
      </c>
    </row>
    <row r="2" customFormat="false" ht="15" hidden="false" customHeight="false" outlineLevel="0" collapsed="false">
      <c r="A2" s="5" t="s">
        <v>211</v>
      </c>
    </row>
    <row r="4" customFormat="false" ht="30" hidden="false" customHeight="true" outlineLevel="0" collapsed="false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  <c r="H4" s="6" t="s">
        <v>192</v>
      </c>
      <c r="I4" s="6" t="s">
        <v>219</v>
      </c>
    </row>
    <row r="5" customFormat="false" ht="15" hidden="false" customHeight="false" outlineLevel="0" collapsed="false">
      <c r="A5" s="7" t="s">
        <v>95</v>
      </c>
      <c r="B5" s="8"/>
      <c r="C5" s="8"/>
      <c r="D5" s="8"/>
      <c r="E5" s="8"/>
      <c r="F5" s="8"/>
      <c r="G5" s="8"/>
      <c r="H5" s="8"/>
      <c r="I5" s="7" t="s">
        <v>220</v>
      </c>
    </row>
    <row r="6" customFormat="false" ht="23.85" hidden="false" customHeight="false" outlineLevel="0" collapsed="false">
      <c r="A6" s="7" t="s">
        <v>221</v>
      </c>
      <c r="B6" s="8"/>
      <c r="C6" s="8"/>
      <c r="D6" s="8"/>
      <c r="E6" s="8"/>
      <c r="F6" s="8"/>
      <c r="G6" s="8"/>
      <c r="H6" s="8"/>
      <c r="I6" s="7" t="s">
        <v>222</v>
      </c>
    </row>
    <row r="7" customFormat="false" ht="23.85" hidden="false" customHeight="false" outlineLevel="0" collapsed="false">
      <c r="A7" s="7" t="s">
        <v>223</v>
      </c>
      <c r="B7" s="8"/>
      <c r="C7" s="8"/>
      <c r="D7" s="8"/>
      <c r="E7" s="8"/>
      <c r="F7" s="8"/>
      <c r="G7" s="8"/>
      <c r="H7" s="8"/>
      <c r="I7" s="7" t="s">
        <v>224</v>
      </c>
    </row>
    <row r="8" customFormat="false" ht="15" hidden="false" customHeight="false" outlineLevel="0" collapsed="false">
      <c r="A8" s="7" t="s">
        <v>225</v>
      </c>
      <c r="B8" s="8"/>
      <c r="C8" s="8"/>
      <c r="D8" s="8"/>
      <c r="E8" s="8"/>
      <c r="F8" s="8"/>
      <c r="G8" s="8"/>
      <c r="H8" s="8"/>
      <c r="I8" s="7" t="s">
        <v>226</v>
      </c>
    </row>
    <row r="9" customFormat="false" ht="15" hidden="false" customHeight="false" outlineLevel="0" collapsed="false">
      <c r="A9" s="7" t="s">
        <v>227</v>
      </c>
      <c r="B9" s="8"/>
      <c r="C9" s="8"/>
      <c r="D9" s="8"/>
      <c r="E9" s="8"/>
      <c r="F9" s="8"/>
      <c r="G9" s="8"/>
      <c r="H9" s="8"/>
      <c r="I9" s="7" t="s">
        <v>228</v>
      </c>
    </row>
    <row r="10" customFormat="false" ht="15" hidden="false" customHeight="false" outlineLevel="0" collapsed="false">
      <c r="A10" s="7" t="s">
        <v>229</v>
      </c>
      <c r="B10" s="8"/>
      <c r="C10" s="8"/>
      <c r="D10" s="8"/>
      <c r="E10" s="8"/>
      <c r="F10" s="8"/>
      <c r="G10" s="8"/>
      <c r="H10" s="8"/>
      <c r="I10" s="7" t="s">
        <v>230</v>
      </c>
    </row>
    <row r="11" customFormat="false" ht="23.85" hidden="false" customHeight="false" outlineLevel="0" collapsed="false">
      <c r="A11" s="7" t="s">
        <v>231</v>
      </c>
      <c r="B11" s="8"/>
      <c r="C11" s="8"/>
      <c r="D11" s="8"/>
      <c r="E11" s="8"/>
      <c r="F11" s="8"/>
      <c r="G11" s="8"/>
      <c r="H11" s="8"/>
      <c r="I11" s="7" t="s">
        <v>232</v>
      </c>
    </row>
    <row r="12" customFormat="false" ht="23.85" hidden="false" customHeight="false" outlineLevel="0" collapsed="false">
      <c r="A12" s="7" t="s">
        <v>233</v>
      </c>
      <c r="B12" s="8"/>
      <c r="C12" s="8"/>
      <c r="D12" s="8"/>
      <c r="E12" s="8"/>
      <c r="F12" s="8"/>
      <c r="G12" s="8"/>
      <c r="H12" s="8"/>
      <c r="I12" s="7" t="s">
        <v>234</v>
      </c>
    </row>
    <row r="13" customFormat="false" ht="15" hidden="false" customHeight="false" outlineLevel="0" collapsed="false">
      <c r="A13" s="7" t="s">
        <v>235</v>
      </c>
      <c r="B13" s="8"/>
      <c r="C13" s="8"/>
      <c r="D13" s="8"/>
      <c r="E13" s="8"/>
      <c r="F13" s="8"/>
      <c r="G13" s="8"/>
      <c r="H13" s="8"/>
      <c r="I13" s="7" t="s">
        <v>236</v>
      </c>
    </row>
    <row r="14" customFormat="false" ht="23.85" hidden="false" customHeight="false" outlineLevel="0" collapsed="false">
      <c r="A14" s="7" t="s">
        <v>237</v>
      </c>
      <c r="B14" s="8"/>
      <c r="C14" s="8"/>
      <c r="D14" s="8"/>
      <c r="E14" s="8"/>
      <c r="F14" s="8"/>
      <c r="G14" s="8"/>
      <c r="H14" s="8"/>
      <c r="I14" s="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34"/>
  </cols>
  <sheetData>
    <row r="1" customFormat="false" ht="16.15" hidden="false" customHeight="false" outlineLevel="0" collapsed="false">
      <c r="A1" s="4" t="s">
        <v>239</v>
      </c>
    </row>
    <row r="2" customFormat="false" ht="15" hidden="false" customHeight="false" outlineLevel="0" collapsed="false">
      <c r="A2" s="5" t="s">
        <v>240</v>
      </c>
    </row>
    <row r="4" customFormat="false" ht="30" hidden="false" customHeight="true" outlineLevel="0" collapsed="false">
      <c r="A4" s="6" t="s">
        <v>241</v>
      </c>
      <c r="B4" s="6" t="s">
        <v>242</v>
      </c>
      <c r="C4" s="6" t="s">
        <v>243</v>
      </c>
      <c r="D4" s="6" t="s">
        <v>244</v>
      </c>
      <c r="E4" s="6" t="s">
        <v>245</v>
      </c>
      <c r="F4" s="6" t="s">
        <v>246</v>
      </c>
      <c r="G4" s="6" t="s">
        <v>247</v>
      </c>
      <c r="H4" s="6" t="s">
        <v>248</v>
      </c>
      <c r="I4" s="6" t="s">
        <v>249</v>
      </c>
    </row>
    <row r="5" customFormat="false" ht="23.85" hidden="false" customHeight="false" outlineLevel="0" collapsed="false">
      <c r="A5" s="7" t="s">
        <v>250</v>
      </c>
      <c r="B5" s="7"/>
      <c r="C5" s="8"/>
      <c r="D5" s="8"/>
      <c r="E5" s="8"/>
      <c r="F5" s="8"/>
      <c r="G5" s="7" t="str">
        <f aca="false">IF(OR(C5="",F5=""),"",IF(UPPER(D5)="YES",1,2)*F5*(0.25^LEN(C5)))</f>
        <v/>
      </c>
      <c r="H5" s="7" t="str">
        <f aca="false">IF(G5="","",EXP(-G5))</f>
        <v/>
      </c>
      <c r="I5" s="7" t="s">
        <v>251</v>
      </c>
    </row>
    <row r="6" customFormat="false" ht="15" hidden="false" customHeight="false" outlineLevel="0" collapsed="false">
      <c r="A6" s="7" t="s">
        <v>252</v>
      </c>
      <c r="B6" s="7"/>
      <c r="C6" s="8"/>
      <c r="D6" s="8"/>
      <c r="E6" s="8"/>
      <c r="F6" s="8"/>
      <c r="G6" s="7" t="str">
        <f aca="false">IF(OR(C6="",F6=""),"",IF(UPPER(D6)="YES",1,2)*F6*(0.25^LEN(C6)))</f>
        <v/>
      </c>
      <c r="H6" s="7" t="str">
        <f aca="false">IF(G6="","",EXP(-G6))</f>
        <v/>
      </c>
      <c r="I6" s="7"/>
    </row>
    <row r="7" customFormat="false" ht="15" hidden="false" customHeight="false" outlineLevel="0" collapsed="false">
      <c r="A7" s="7" t="s">
        <v>253</v>
      </c>
      <c r="B7" s="7"/>
      <c r="C7" s="8"/>
      <c r="D7" s="8"/>
      <c r="E7" s="8"/>
      <c r="F7" s="8"/>
      <c r="G7" s="7" t="str">
        <f aca="false">IF(OR(C7="",F7=""),"",IF(UPPER(D7)="YES",1,2)*F7*(0.25^LEN(C7)))</f>
        <v/>
      </c>
      <c r="H7" s="7" t="str">
        <f aca="false">IF(G7="","",EXP(-G7))</f>
        <v/>
      </c>
      <c r="I7" s="7"/>
    </row>
    <row r="8" customFormat="false" ht="15" hidden="false" customHeight="false" outlineLevel="0" collapsed="false">
      <c r="A8" s="7" t="s">
        <v>254</v>
      </c>
      <c r="B8" s="7"/>
      <c r="C8" s="8"/>
      <c r="D8" s="8"/>
      <c r="E8" s="8"/>
      <c r="F8" s="8"/>
      <c r="G8" s="7" t="str">
        <f aca="false">IF(OR(C8="",F8=""),"",IF(UPPER(D8)="YES",1,2)*F8*(0.25^LEN(C8)))</f>
        <v/>
      </c>
      <c r="H8" s="7" t="str">
        <f aca="false">IF(G8="","",EXP(-G8))</f>
        <v/>
      </c>
      <c r="I8" s="7"/>
    </row>
    <row r="9" customFormat="false" ht="15" hidden="false" customHeight="false" outlineLevel="0" collapsed="false">
      <c r="A9" s="7" t="s">
        <v>255</v>
      </c>
      <c r="B9" s="7"/>
      <c r="C9" s="8"/>
      <c r="D9" s="8"/>
      <c r="E9" s="8"/>
      <c r="F9" s="8"/>
      <c r="G9" s="7" t="str">
        <f aca="false">IF(OR(C9="",F9=""),"",IF(UPPER(D9)="YES",1,2)*F9*(0.25^LEN(C9)))</f>
        <v/>
      </c>
      <c r="H9" s="7" t="str">
        <f aca="false">IF(G9="","",EXP(-G9))</f>
        <v/>
      </c>
      <c r="I9" s="7"/>
    </row>
    <row r="11" customFormat="false" ht="15" hidden="false" customHeight="false" outlineLevel="0" collapsed="false">
      <c r="A11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4" t="s">
        <v>257</v>
      </c>
    </row>
    <row r="2" customFormat="false" ht="15" hidden="false" customHeight="false" outlineLevel="0" collapsed="false">
      <c r="A2" s="5" t="s">
        <v>258</v>
      </c>
    </row>
    <row r="4" customFormat="false" ht="30" hidden="false" customHeight="true" outlineLevel="0" collapsed="false">
      <c r="A4" s="6" t="s">
        <v>259</v>
      </c>
      <c r="B4" s="6" t="s">
        <v>83</v>
      </c>
      <c r="C4" s="6" t="s">
        <v>85</v>
      </c>
      <c r="D4" s="6" t="s">
        <v>260</v>
      </c>
      <c r="E4" s="6" t="s">
        <v>261</v>
      </c>
      <c r="F4" s="6" t="s">
        <v>262</v>
      </c>
      <c r="G4" s="6" t="s">
        <v>263</v>
      </c>
    </row>
    <row r="5" customFormat="false" ht="15" hidden="false" customHeight="false" outlineLevel="0" collapsed="false">
      <c r="A5" s="7" t="s">
        <v>264</v>
      </c>
      <c r="B5" s="7" t="s">
        <v>265</v>
      </c>
      <c r="C5" s="8"/>
      <c r="D5" s="7" t="s">
        <v>266</v>
      </c>
      <c r="E5" s="7" t="s">
        <v>267</v>
      </c>
      <c r="F5" s="7" t="str">
        <f aca="false">IF(OR(C5="",C6=""),"",C5*C6)</f>
        <v/>
      </c>
      <c r="G5" s="7" t="s">
        <v>268</v>
      </c>
    </row>
    <row r="6" customFormat="false" ht="15" hidden="false" customHeight="false" outlineLevel="0" collapsed="false">
      <c r="A6" s="7" t="s">
        <v>119</v>
      </c>
      <c r="B6" s="7" t="s">
        <v>269</v>
      </c>
      <c r="C6" s="8"/>
      <c r="D6" s="7" t="s">
        <v>270</v>
      </c>
      <c r="E6" s="7" t="s">
        <v>271</v>
      </c>
      <c r="F6" s="7" t="str">
        <f aca="false">IF(OR(F5="",C7="",C8=""),"",F5/(C7-C8))</f>
        <v/>
      </c>
      <c r="G6" s="7" t="s">
        <v>272</v>
      </c>
    </row>
    <row r="7" customFormat="false" ht="15" hidden="false" customHeight="false" outlineLevel="0" collapsed="false">
      <c r="A7" s="7" t="s">
        <v>273</v>
      </c>
      <c r="B7" s="7" t="s">
        <v>149</v>
      </c>
      <c r="C7" s="8"/>
      <c r="D7" s="7" t="s">
        <v>274</v>
      </c>
      <c r="E7" s="7" t="s">
        <v>275</v>
      </c>
      <c r="F7" s="7" t="str">
        <f aca="false">IF(OR(C7="",C8=""),"",C7-C8)</f>
        <v/>
      </c>
      <c r="G7" s="7" t="s">
        <v>276</v>
      </c>
    </row>
    <row r="8" customFormat="false" ht="23.85" hidden="false" customHeight="false" outlineLevel="0" collapsed="false">
      <c r="A8" s="7" t="s">
        <v>277</v>
      </c>
      <c r="B8" s="7" t="s">
        <v>149</v>
      </c>
      <c r="C8" s="8"/>
      <c r="D8" s="7" t="s">
        <v>278</v>
      </c>
      <c r="E8" s="7" t="s">
        <v>279</v>
      </c>
      <c r="F8" s="7" t="str">
        <f aca="false">IF(OR(C9="",C5=""),"",C9*(C7-C8)/C5)</f>
        <v/>
      </c>
      <c r="G8" s="7" t="s">
        <v>280</v>
      </c>
    </row>
    <row r="9" customFormat="false" ht="15" hidden="false" customHeight="false" outlineLevel="0" collapsed="false">
      <c r="A9" s="7" t="s">
        <v>281</v>
      </c>
      <c r="B9" s="7" t="s">
        <v>111</v>
      </c>
      <c r="C9" s="8"/>
      <c r="D9" s="7" t="s">
        <v>282</v>
      </c>
      <c r="E9" s="7" t="s">
        <v>283</v>
      </c>
      <c r="F9" s="7" t="str">
        <f aca="false">IF(OR(C9="",C6=""),"",C9*(C7-C8)/C6)</f>
        <v/>
      </c>
      <c r="G9" s="7" t="s">
        <v>268</v>
      </c>
    </row>
    <row r="10" customFormat="false" ht="15" hidden="false" customHeight="false" outlineLevel="0" collapsed="false">
      <c r="A10" s="7" t="s">
        <v>284</v>
      </c>
      <c r="B10" s="7" t="s">
        <v>285</v>
      </c>
      <c r="C10" s="8"/>
      <c r="D10" s="7" t="s">
        <v>286</v>
      </c>
      <c r="E10" s="7" t="s">
        <v>287</v>
      </c>
      <c r="F10" s="7" t="str">
        <f aca="false">IF(OR(C12="",C10="",C11="",C14=""),"",C12*C14*C11^3*C10^5)</f>
        <v/>
      </c>
      <c r="G10" s="7" t="s">
        <v>288</v>
      </c>
    </row>
    <row r="11" customFormat="false" ht="15" hidden="false" customHeight="false" outlineLevel="0" collapsed="false">
      <c r="A11" s="7" t="s">
        <v>289</v>
      </c>
      <c r="B11" s="7" t="s">
        <v>290</v>
      </c>
      <c r="C11" s="8"/>
      <c r="D11" s="7" t="s">
        <v>286</v>
      </c>
      <c r="E11" s="7" t="s">
        <v>291</v>
      </c>
      <c r="F11" s="7" t="str">
        <f aca="false">IF(OR(C11="",C10=""),"",PI()*C11*C10)</f>
        <v/>
      </c>
      <c r="G11" s="7" t="s">
        <v>292</v>
      </c>
    </row>
    <row r="12" customFormat="false" ht="15" hidden="false" customHeight="false" outlineLevel="0" collapsed="false">
      <c r="A12" s="7" t="s">
        <v>293</v>
      </c>
      <c r="B12" s="7" t="s">
        <v>52</v>
      </c>
      <c r="C12" s="8"/>
      <c r="D12" s="7" t="s">
        <v>294</v>
      </c>
      <c r="E12" s="7" t="s">
        <v>295</v>
      </c>
      <c r="F12" s="7" t="str">
        <f aca="false">IF(OR(F10="",C13=""),"",F10/C13)</f>
        <v/>
      </c>
      <c r="G12" s="7" t="s">
        <v>268</v>
      </c>
    </row>
    <row r="13" customFormat="false" ht="15" hidden="false" customHeight="false" outlineLevel="0" collapsed="false">
      <c r="A13" s="7" t="s">
        <v>296</v>
      </c>
      <c r="B13" s="7" t="s">
        <v>297</v>
      </c>
      <c r="C13" s="8"/>
      <c r="D13" s="7" t="s">
        <v>286</v>
      </c>
      <c r="E13" s="7"/>
      <c r="F13" s="7"/>
      <c r="G13" s="7"/>
    </row>
    <row r="14" customFormat="false" ht="15" hidden="false" customHeight="false" outlineLevel="0" collapsed="false">
      <c r="A14" s="7" t="s">
        <v>298</v>
      </c>
      <c r="B14" s="7" t="s">
        <v>299</v>
      </c>
      <c r="C14" s="8"/>
      <c r="D14" s="7" t="s">
        <v>300</v>
      </c>
      <c r="E14" s="7"/>
      <c r="F14" s="7"/>
      <c r="G14" s="7"/>
    </row>
    <row r="15" customFormat="false" ht="15" hidden="false" customHeight="false" outlineLevel="0" collapsed="false">
      <c r="A15" s="7" t="s">
        <v>301</v>
      </c>
      <c r="B15" s="7" t="s">
        <v>302</v>
      </c>
      <c r="C15" s="8"/>
      <c r="D15" s="7" t="s">
        <v>303</v>
      </c>
      <c r="E15" s="7" t="s">
        <v>304</v>
      </c>
      <c r="F15" s="7" t="str">
        <f aca="false">IF(OR(C15="",C16="",C7=""),"",1000000*SQRT(2*C15*(C7*0.032)/(C16*0.004/3600)))</f>
        <v/>
      </c>
      <c r="G15" s="7" t="s">
        <v>305</v>
      </c>
    </row>
    <row r="16" customFormat="false" ht="15" hidden="false" customHeight="false" outlineLevel="0" collapsed="false">
      <c r="A16" s="7" t="s">
        <v>306</v>
      </c>
      <c r="B16" s="7" t="s">
        <v>299</v>
      </c>
      <c r="C16" s="8"/>
      <c r="D16" s="7" t="s">
        <v>307</v>
      </c>
      <c r="E16" s="7" t="s">
        <v>308</v>
      </c>
      <c r="F16" s="7" t="str">
        <f aca="false">IF(F15="","",2*F15*SQRT(3)/1000)</f>
        <v/>
      </c>
      <c r="G16" s="7" t="s">
        <v>309</v>
      </c>
    </row>
    <row r="17" customFormat="false" ht="15" hidden="false" customHeight="false" outlineLevel="0" collapsed="false">
      <c r="A17" s="7" t="s">
        <v>310</v>
      </c>
      <c r="B17" s="7" t="s">
        <v>311</v>
      </c>
      <c r="C17" s="8"/>
      <c r="D17" s="7" t="s">
        <v>312</v>
      </c>
      <c r="E17" s="7" t="s">
        <v>313</v>
      </c>
      <c r="F17" s="7" t="str">
        <f aca="false">IF(C17="","",1000*LN(10)/(C17*1000))</f>
        <v/>
      </c>
      <c r="G17" s="7" t="s">
        <v>314</v>
      </c>
    </row>
    <row r="19" customFormat="false" ht="15" hidden="false" customHeight="false" outlineLevel="0" collapsed="false">
      <c r="A19" s="5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36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4" t="s">
        <v>316</v>
      </c>
    </row>
    <row r="2" customFormat="false" ht="15" hidden="false" customHeight="false" outlineLevel="0" collapsed="false">
      <c r="A2" s="5" t="s">
        <v>317</v>
      </c>
    </row>
    <row r="4" customFormat="false" ht="30" hidden="false" customHeight="true" outlineLevel="0" collapsed="false">
      <c r="A4" s="6" t="s">
        <v>259</v>
      </c>
      <c r="B4" s="6" t="s">
        <v>83</v>
      </c>
      <c r="C4" s="6" t="s">
        <v>85</v>
      </c>
      <c r="D4" s="6" t="s">
        <v>192</v>
      </c>
      <c r="E4" s="6" t="s">
        <v>261</v>
      </c>
      <c r="F4" s="6" t="s">
        <v>262</v>
      </c>
      <c r="G4" s="6" t="s">
        <v>263</v>
      </c>
    </row>
    <row r="5" customFormat="false" ht="15" hidden="false" customHeight="false" outlineLevel="0" collapsed="false">
      <c r="A5" s="7" t="s">
        <v>318</v>
      </c>
      <c r="B5" s="7" t="s">
        <v>319</v>
      </c>
      <c r="C5" s="8"/>
      <c r="D5" s="7" t="s">
        <v>320</v>
      </c>
      <c r="E5" s="7" t="s">
        <v>321</v>
      </c>
      <c r="F5" s="7" t="str">
        <f aca="false">IF(OR(C5="",C6=""),"",C5/C6)</f>
        <v/>
      </c>
      <c r="G5" s="7" t="s">
        <v>322</v>
      </c>
    </row>
    <row r="6" customFormat="false" ht="15" hidden="false" customHeight="false" outlineLevel="0" collapsed="false">
      <c r="A6" s="7" t="s">
        <v>323</v>
      </c>
      <c r="B6" s="7" t="s">
        <v>324</v>
      </c>
      <c r="C6" s="8"/>
      <c r="D6" s="7" t="s">
        <v>325</v>
      </c>
      <c r="E6" s="7" t="s">
        <v>326</v>
      </c>
      <c r="F6" s="7" t="str">
        <f aca="false">IF(C7="","",1000/C7)</f>
        <v/>
      </c>
      <c r="G6" s="7" t="s">
        <v>322</v>
      </c>
    </row>
    <row r="7" customFormat="false" ht="15" hidden="false" customHeight="false" outlineLevel="0" collapsed="false">
      <c r="A7" s="7" t="s">
        <v>327</v>
      </c>
      <c r="B7" s="7" t="s">
        <v>99</v>
      </c>
      <c r="C7" s="8"/>
      <c r="D7" s="7" t="s">
        <v>328</v>
      </c>
      <c r="E7" s="7" t="s">
        <v>329</v>
      </c>
      <c r="F7" s="7" t="str">
        <f aca="false">IF(C7="","",1000/C7-1)</f>
        <v/>
      </c>
      <c r="G7" s="7" t="s">
        <v>330</v>
      </c>
    </row>
    <row r="8" customFormat="false" ht="15" hidden="false" customHeight="false" outlineLevel="0" collapsed="false">
      <c r="A8" s="7" t="s">
        <v>331</v>
      </c>
      <c r="B8" s="7" t="s">
        <v>319</v>
      </c>
      <c r="C8" s="8"/>
      <c r="D8" s="7" t="s">
        <v>332</v>
      </c>
      <c r="E8" s="7" t="s">
        <v>333</v>
      </c>
      <c r="F8" s="7" t="str">
        <f aca="false">IF(F7="","",F7*2.26)</f>
        <v/>
      </c>
      <c r="G8" s="7" t="s">
        <v>334</v>
      </c>
    </row>
    <row r="9" customFormat="false" ht="15" hidden="false" customHeight="false" outlineLevel="0" collapsed="false">
      <c r="A9" s="7" t="s">
        <v>335</v>
      </c>
      <c r="B9" s="7" t="s">
        <v>336</v>
      </c>
      <c r="C9" s="8"/>
      <c r="D9" s="7" t="s">
        <v>337</v>
      </c>
      <c r="E9" s="7" t="s">
        <v>338</v>
      </c>
      <c r="F9" s="7" t="str">
        <f aca="false">IF(OR(C9="",C10="",F11=""),"",F11*C9*1000000/(C10*1000))</f>
        <v/>
      </c>
      <c r="G9" s="7" t="s">
        <v>339</v>
      </c>
    </row>
    <row r="10" customFormat="false" ht="15" hidden="false" customHeight="false" outlineLevel="0" collapsed="false">
      <c r="A10" s="7" t="s">
        <v>340</v>
      </c>
      <c r="B10" s="7" t="s">
        <v>341</v>
      </c>
      <c r="C10" s="8"/>
      <c r="D10" s="7" t="s">
        <v>342</v>
      </c>
      <c r="E10" s="7" t="s">
        <v>343</v>
      </c>
      <c r="F10" s="7" t="str">
        <f aca="false">IF(OR(C9="",C10="",C13=""),"",C13*C9*1000000/(C10*1000))</f>
        <v/>
      </c>
      <c r="G10" s="7"/>
    </row>
    <row r="11" customFormat="false" ht="15" hidden="false" customHeight="false" outlineLevel="0" collapsed="false">
      <c r="A11" s="7" t="s">
        <v>344</v>
      </c>
      <c r="B11" s="7" t="s">
        <v>345</v>
      </c>
      <c r="C11" s="8"/>
      <c r="D11" s="7" t="s">
        <v>346</v>
      </c>
      <c r="E11" s="7" t="s">
        <v>347</v>
      </c>
      <c r="F11" s="7" t="str">
        <f aca="false">IF(OR(C11="",C12=""),"",C11*(1+C11)^C12/((1+C11)^C12-1))</f>
        <v/>
      </c>
      <c r="G11" s="7" t="s">
        <v>348</v>
      </c>
    </row>
    <row r="12" customFormat="false" ht="15" hidden="false" customHeight="false" outlineLevel="0" collapsed="false">
      <c r="A12" s="7" t="s">
        <v>349</v>
      </c>
      <c r="B12" s="7" t="s">
        <v>350</v>
      </c>
      <c r="C12" s="8"/>
      <c r="D12" s="7" t="s">
        <v>351</v>
      </c>
      <c r="E12" s="7" t="s">
        <v>352</v>
      </c>
      <c r="F12" s="7" t="str">
        <f aca="false">IF(OR(F5="",F9="",F10="",C14=""),"",F5+F9+F10+C14+F8/1000*8)</f>
        <v/>
      </c>
      <c r="G12" s="7" t="s">
        <v>322</v>
      </c>
    </row>
    <row r="13" customFormat="false" ht="15" hidden="false" customHeight="false" outlineLevel="0" collapsed="false">
      <c r="A13" s="7" t="s">
        <v>353</v>
      </c>
      <c r="B13" s="7" t="s">
        <v>354</v>
      </c>
      <c r="C13" s="8"/>
      <c r="D13" s="7" t="s">
        <v>355</v>
      </c>
      <c r="E13" s="7" t="s">
        <v>356</v>
      </c>
      <c r="F13" s="7" t="str">
        <f aca="false">IF(OR(F12="",C8=""),"",IF(F12&lt;=C8,"yes","no"))</f>
        <v/>
      </c>
      <c r="G13" s="7" t="s">
        <v>357</v>
      </c>
    </row>
    <row r="14" customFormat="false" ht="15" hidden="false" customHeight="false" outlineLevel="0" collapsed="false">
      <c r="A14" s="7" t="s">
        <v>358</v>
      </c>
      <c r="B14" s="7" t="s">
        <v>319</v>
      </c>
      <c r="C14" s="8"/>
      <c r="D14" s="7" t="s">
        <v>359</v>
      </c>
      <c r="E14" s="7"/>
      <c r="F14" s="7"/>
      <c r="G14" s="7"/>
    </row>
    <row r="15" customFormat="false" ht="23.85" hidden="false" customHeight="false" outlineLevel="0" collapsed="false">
      <c r="A15" s="7" t="s">
        <v>360</v>
      </c>
      <c r="B15" s="7" t="s">
        <v>361</v>
      </c>
      <c r="C15" s="8"/>
      <c r="D15" s="7" t="s">
        <v>362</v>
      </c>
      <c r="E15" s="7" t="s">
        <v>363</v>
      </c>
      <c r="F15" s="7"/>
      <c r="G15" s="7" t="s">
        <v>364</v>
      </c>
    </row>
    <row r="16" customFormat="false" ht="23.85" hidden="false" customHeight="false" outlineLevel="0" collapsed="false">
      <c r="A16" s="7" t="s">
        <v>365</v>
      </c>
      <c r="B16" s="7" t="s">
        <v>319</v>
      </c>
      <c r="C16" s="8"/>
      <c r="D16" s="7" t="s">
        <v>366</v>
      </c>
      <c r="E16" s="7" t="s">
        <v>367</v>
      </c>
      <c r="F16" s="7" t="str">
        <f aca="false">IF(C15="","",C15*22.3)</f>
        <v/>
      </c>
      <c r="G16" s="7" t="s">
        <v>368</v>
      </c>
    </row>
    <row r="17" customFormat="false" ht="15" hidden="false" customHeight="false" outlineLevel="0" collapsed="false">
      <c r="F17" s="9" t="str">
        <f aca="false">IF(C16="","",C16*1.34)</f>
        <v/>
      </c>
    </row>
    <row r="19" customFormat="false" ht="15" hidden="false" customHeight="false" outlineLevel="0" collapsed="false">
      <c r="A19" s="5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6"/>
  </cols>
  <sheetData>
    <row r="1" customFormat="false" ht="16.15" hidden="false" customHeight="false" outlineLevel="0" collapsed="false">
      <c r="A1" s="4" t="s">
        <v>370</v>
      </c>
    </row>
    <row r="2" customFormat="false" ht="15" hidden="false" customHeight="false" outlineLevel="0" collapsed="false">
      <c r="A2" s="5" t="s">
        <v>371</v>
      </c>
    </row>
    <row r="4" customFormat="false" ht="30" hidden="false" customHeight="true" outlineLevel="0" collapsed="false">
      <c r="A4" s="6" t="s">
        <v>372</v>
      </c>
      <c r="B4" s="6" t="s">
        <v>373</v>
      </c>
      <c r="C4" s="6" t="s">
        <v>374</v>
      </c>
    </row>
    <row r="5" customFormat="false" ht="15" hidden="false" customHeight="false" outlineLevel="0" collapsed="false">
      <c r="A5" s="7" t="s">
        <v>375</v>
      </c>
      <c r="B5" s="8" t="s">
        <v>376</v>
      </c>
      <c r="C5" s="7" t="s">
        <v>377</v>
      </c>
    </row>
    <row r="6" customFormat="false" ht="23.85" hidden="false" customHeight="false" outlineLevel="0" collapsed="false">
      <c r="A6" s="7" t="s">
        <v>378</v>
      </c>
      <c r="B6" s="8" t="s">
        <v>379</v>
      </c>
      <c r="C6" s="7" t="s">
        <v>380</v>
      </c>
    </row>
    <row r="7" customFormat="false" ht="15" hidden="false" customHeight="false" outlineLevel="0" collapsed="false">
      <c r="A7" s="7" t="s">
        <v>381</v>
      </c>
      <c r="B7" s="8" t="s">
        <v>382</v>
      </c>
      <c r="C7" s="7" t="s">
        <v>383</v>
      </c>
    </row>
    <row r="8" customFormat="false" ht="15" hidden="false" customHeight="false" outlineLevel="0" collapsed="false">
      <c r="A8" s="7" t="s">
        <v>384</v>
      </c>
      <c r="B8" s="8"/>
      <c r="C8" s="7" t="s">
        <v>385</v>
      </c>
    </row>
    <row r="9" customFormat="false" ht="15" hidden="false" customHeight="false" outlineLevel="0" collapsed="false">
      <c r="A9" s="7" t="s">
        <v>386</v>
      </c>
      <c r="B9" s="8" t="s">
        <v>387</v>
      </c>
      <c r="C9" s="7" t="s">
        <v>388</v>
      </c>
    </row>
    <row r="10" customFormat="false" ht="15" hidden="false" customHeight="false" outlineLevel="0" collapsed="false">
      <c r="A10" s="7" t="s">
        <v>389</v>
      </c>
      <c r="B10" s="8" t="s">
        <v>390</v>
      </c>
      <c r="C10" s="7" t="s">
        <v>391</v>
      </c>
    </row>
    <row r="11" customFormat="false" ht="15" hidden="false" customHeight="false" outlineLevel="0" collapsed="false">
      <c r="A11" s="7" t="s">
        <v>392</v>
      </c>
      <c r="B11" s="8" t="s">
        <v>393</v>
      </c>
      <c r="C11" s="7" t="s">
        <v>394</v>
      </c>
    </row>
    <row r="12" customFormat="false" ht="15" hidden="false" customHeight="false" outlineLevel="0" collapsed="false">
      <c r="A12" s="7" t="s">
        <v>395</v>
      </c>
      <c r="B12" s="8" t="s">
        <v>396</v>
      </c>
      <c r="C12" s="7" t="s">
        <v>397</v>
      </c>
    </row>
    <row r="13" customFormat="false" ht="15" hidden="false" customHeight="false" outlineLevel="0" collapsed="false">
      <c r="A13" s="7" t="s">
        <v>398</v>
      </c>
      <c r="B13" s="8" t="s">
        <v>399</v>
      </c>
      <c r="C13" s="7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4" t="s">
        <v>401</v>
      </c>
    </row>
    <row r="2" customFormat="false" ht="15" hidden="false" customHeight="false" outlineLevel="0" collapsed="false">
      <c r="A2" s="5" t="s">
        <v>402</v>
      </c>
    </row>
    <row r="4" customFormat="false" ht="30" hidden="false" customHeight="true" outlineLevel="0" collapsed="false">
      <c r="A4" s="6" t="s">
        <v>403</v>
      </c>
      <c r="B4" s="6" t="s">
        <v>404</v>
      </c>
      <c r="C4" s="6" t="s">
        <v>405</v>
      </c>
      <c r="D4" s="6" t="s">
        <v>406</v>
      </c>
      <c r="E4" s="6" t="s">
        <v>407</v>
      </c>
      <c r="F4" s="6" t="s">
        <v>408</v>
      </c>
    </row>
    <row r="5" customFormat="false" ht="35.05" hidden="false" customHeight="false" outlineLevel="0" collapsed="false">
      <c r="A5" s="7" t="s">
        <v>409</v>
      </c>
      <c r="B5" s="7" t="s">
        <v>410</v>
      </c>
      <c r="C5" s="7" t="s">
        <v>411</v>
      </c>
      <c r="D5" s="7" t="s">
        <v>412</v>
      </c>
      <c r="E5" s="8"/>
      <c r="F5" s="8"/>
    </row>
    <row r="6" customFormat="false" ht="23.85" hidden="false" customHeight="false" outlineLevel="0" collapsed="false">
      <c r="A6" s="7" t="s">
        <v>413</v>
      </c>
      <c r="B6" s="7" t="s">
        <v>414</v>
      </c>
      <c r="C6" s="7" t="s">
        <v>411</v>
      </c>
      <c r="D6" s="7" t="s">
        <v>415</v>
      </c>
      <c r="E6" s="8"/>
      <c r="F6" s="8"/>
    </row>
    <row r="7" customFormat="false" ht="15" hidden="false" customHeight="false" outlineLevel="0" collapsed="false">
      <c r="A7" s="7" t="s">
        <v>416</v>
      </c>
      <c r="B7" s="7" t="s">
        <v>414</v>
      </c>
      <c r="C7" s="7" t="s">
        <v>411</v>
      </c>
      <c r="D7" s="7" t="s">
        <v>417</v>
      </c>
      <c r="E7" s="8"/>
      <c r="F7" s="8"/>
    </row>
    <row r="8" customFormat="false" ht="15" hidden="false" customHeight="false" outlineLevel="0" collapsed="false">
      <c r="A8" s="7" t="s">
        <v>418</v>
      </c>
      <c r="B8" s="7" t="s">
        <v>419</v>
      </c>
      <c r="C8" s="7" t="s">
        <v>411</v>
      </c>
      <c r="D8" s="7" t="s">
        <v>420</v>
      </c>
      <c r="E8" s="8"/>
      <c r="F8" s="8"/>
    </row>
    <row r="9" customFormat="false" ht="23.85" hidden="false" customHeight="false" outlineLevel="0" collapsed="false">
      <c r="A9" s="7" t="s">
        <v>421</v>
      </c>
      <c r="B9" s="7" t="s">
        <v>422</v>
      </c>
      <c r="C9" s="7" t="s">
        <v>423</v>
      </c>
      <c r="D9" s="7" t="s">
        <v>424</v>
      </c>
      <c r="E9" s="8"/>
      <c r="F9" s="8"/>
    </row>
    <row r="10" customFormat="false" ht="23.85" hidden="false" customHeight="false" outlineLevel="0" collapsed="false">
      <c r="A10" s="7" t="s">
        <v>425</v>
      </c>
      <c r="B10" s="7" t="s">
        <v>426</v>
      </c>
      <c r="C10" s="7" t="s">
        <v>423</v>
      </c>
      <c r="D10" s="7" t="s">
        <v>427</v>
      </c>
      <c r="E10" s="8"/>
      <c r="F10" s="8"/>
    </row>
    <row r="11" customFormat="false" ht="23.85" hidden="false" customHeight="false" outlineLevel="0" collapsed="false">
      <c r="A11" s="7" t="s">
        <v>428</v>
      </c>
      <c r="B11" s="7" t="s">
        <v>426</v>
      </c>
      <c r="C11" s="7" t="s">
        <v>411</v>
      </c>
      <c r="D11" s="7" t="s">
        <v>429</v>
      </c>
      <c r="E11" s="8"/>
      <c r="F11" s="8"/>
    </row>
    <row r="12" customFormat="false" ht="23.85" hidden="false" customHeight="false" outlineLevel="0" collapsed="false">
      <c r="A12" s="7" t="s">
        <v>430</v>
      </c>
      <c r="B12" s="7" t="s">
        <v>431</v>
      </c>
      <c r="C12" s="7" t="s">
        <v>423</v>
      </c>
      <c r="D12" s="7" t="s">
        <v>432</v>
      </c>
      <c r="E12" s="8"/>
      <c r="F12" s="8"/>
    </row>
    <row r="13" customFormat="false" ht="23.85" hidden="false" customHeight="false" outlineLevel="0" collapsed="false">
      <c r="A13" s="7" t="s">
        <v>433</v>
      </c>
      <c r="B13" s="7" t="s">
        <v>434</v>
      </c>
      <c r="C13" s="7" t="s">
        <v>423</v>
      </c>
      <c r="D13" s="7" t="s">
        <v>435</v>
      </c>
      <c r="E13" s="8"/>
      <c r="F13" s="8"/>
    </row>
    <row r="14" customFormat="false" ht="23.85" hidden="false" customHeight="false" outlineLevel="0" collapsed="false">
      <c r="A14" s="7" t="s">
        <v>436</v>
      </c>
      <c r="B14" s="7" t="s">
        <v>437</v>
      </c>
      <c r="C14" s="7" t="s">
        <v>411</v>
      </c>
      <c r="D14" s="7" t="s">
        <v>438</v>
      </c>
      <c r="E14" s="8"/>
      <c r="F14" s="8"/>
    </row>
    <row r="15" customFormat="false" ht="23.85" hidden="false" customHeight="false" outlineLevel="0" collapsed="false">
      <c r="A15" s="7" t="s">
        <v>439</v>
      </c>
      <c r="B15" s="7" t="s">
        <v>440</v>
      </c>
      <c r="C15" s="7" t="s">
        <v>423</v>
      </c>
      <c r="D15" s="7" t="s">
        <v>441</v>
      </c>
      <c r="E15" s="8"/>
      <c r="F15" s="8"/>
    </row>
    <row r="16" customFormat="false" ht="15" hidden="false" customHeight="false" outlineLevel="0" collapsed="false">
      <c r="A16" s="7" t="s">
        <v>442</v>
      </c>
      <c r="B16" s="7" t="s">
        <v>443</v>
      </c>
      <c r="C16" s="7" t="s">
        <v>411</v>
      </c>
      <c r="D16" s="7" t="s">
        <v>444</v>
      </c>
      <c r="E16" s="8"/>
      <c r="F16" s="8"/>
    </row>
    <row r="17" customFormat="false" ht="15" hidden="false" customHeight="false" outlineLevel="0" collapsed="false">
      <c r="A17" s="7" t="s">
        <v>445</v>
      </c>
      <c r="B17" s="7" t="s">
        <v>446</v>
      </c>
      <c r="C17" s="7" t="s">
        <v>411</v>
      </c>
      <c r="D17" s="7" t="s">
        <v>447</v>
      </c>
      <c r="E17" s="8"/>
      <c r="F17" s="8"/>
    </row>
    <row r="18" customFormat="false" ht="15" hidden="false" customHeight="false" outlineLevel="0" collapsed="false">
      <c r="A18" s="7" t="s">
        <v>448</v>
      </c>
      <c r="B18" s="7" t="s">
        <v>449</v>
      </c>
      <c r="C18" s="7" t="s">
        <v>423</v>
      </c>
      <c r="D18" s="7" t="s">
        <v>450</v>
      </c>
      <c r="E18" s="8"/>
      <c r="F18" s="8"/>
    </row>
    <row r="19" customFormat="false" ht="15" hidden="false" customHeight="false" outlineLevel="0" collapsed="false">
      <c r="A19" s="7" t="s">
        <v>451</v>
      </c>
      <c r="B19" s="7" t="s">
        <v>268</v>
      </c>
      <c r="C19" s="7" t="s">
        <v>411</v>
      </c>
      <c r="D19" s="7" t="s">
        <v>452</v>
      </c>
      <c r="E19" s="8"/>
      <c r="F19" s="8"/>
    </row>
    <row r="20" customFormat="false" ht="15" hidden="false" customHeight="false" outlineLevel="0" collapsed="false">
      <c r="A20" s="7" t="s">
        <v>453</v>
      </c>
      <c r="B20" s="7" t="s">
        <v>454</v>
      </c>
      <c r="C20" s="7" t="s">
        <v>423</v>
      </c>
      <c r="D20" s="7" t="s">
        <v>455</v>
      </c>
      <c r="E20" s="8"/>
      <c r="F20" s="8"/>
    </row>
    <row r="21" customFormat="false" ht="15" hidden="false" customHeight="false" outlineLevel="0" collapsed="false">
      <c r="A21" s="7" t="s">
        <v>456</v>
      </c>
      <c r="B21" s="7" t="s">
        <v>322</v>
      </c>
      <c r="C21" s="7" t="s">
        <v>457</v>
      </c>
      <c r="D21" s="7" t="s">
        <v>458</v>
      </c>
      <c r="E21" s="8"/>
      <c r="F21" s="8"/>
    </row>
    <row r="22" customFormat="false" ht="15" hidden="false" customHeight="false" outlineLevel="0" collapsed="false">
      <c r="A22" s="7" t="s">
        <v>459</v>
      </c>
      <c r="B22" s="7" t="s">
        <v>268</v>
      </c>
      <c r="C22" s="7" t="s">
        <v>411</v>
      </c>
      <c r="D22" s="7" t="s">
        <v>460</v>
      </c>
      <c r="E22" s="8"/>
      <c r="F22" s="8"/>
    </row>
    <row r="23" customFormat="false" ht="23.85" hidden="false" customHeight="false" outlineLevel="0" collapsed="false">
      <c r="A23" s="7" t="s">
        <v>461</v>
      </c>
      <c r="B23" s="7" t="s">
        <v>462</v>
      </c>
      <c r="C23" s="7" t="s">
        <v>457</v>
      </c>
      <c r="D23" s="7" t="s">
        <v>463</v>
      </c>
      <c r="E23" s="8"/>
      <c r="F23" s="8"/>
    </row>
    <row r="24" customFormat="false" ht="23.85" hidden="false" customHeight="false" outlineLevel="0" collapsed="false">
      <c r="A24" s="7" t="s">
        <v>464</v>
      </c>
      <c r="B24" s="7" t="s">
        <v>314</v>
      </c>
      <c r="C24" s="7" t="s">
        <v>457</v>
      </c>
      <c r="D24" s="7" t="s">
        <v>465</v>
      </c>
      <c r="E24" s="8"/>
      <c r="F24" s="8"/>
    </row>
    <row r="25" customFormat="false" ht="23.85" hidden="false" customHeight="false" outlineLevel="0" collapsed="false">
      <c r="A25" s="7" t="s">
        <v>466</v>
      </c>
      <c r="B25" s="7" t="s">
        <v>268</v>
      </c>
      <c r="C25" s="7" t="s">
        <v>457</v>
      </c>
      <c r="D25" s="7" t="s">
        <v>467</v>
      </c>
      <c r="E25" s="8"/>
      <c r="F25" s="8"/>
    </row>
    <row r="26" customFormat="false" ht="15" hidden="false" customHeight="false" outlineLevel="0" collapsed="false">
      <c r="A26" s="7" t="s">
        <v>468</v>
      </c>
      <c r="B26" s="7" t="s">
        <v>469</v>
      </c>
      <c r="C26" s="7" t="s">
        <v>411</v>
      </c>
      <c r="D26" s="7" t="s">
        <v>470</v>
      </c>
      <c r="E26" s="8"/>
      <c r="F26" s="8"/>
    </row>
    <row r="27" customFormat="false" ht="15" hidden="false" customHeight="false" outlineLevel="0" collapsed="false">
      <c r="A27" s="7" t="s">
        <v>471</v>
      </c>
      <c r="B27" s="7" t="s">
        <v>472</v>
      </c>
      <c r="C27" s="7" t="s">
        <v>411</v>
      </c>
      <c r="D27" s="7" t="s">
        <v>473</v>
      </c>
      <c r="E27" s="8"/>
      <c r="F2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2026-10-28T11:34:58Z</dcterms:created>
  <dc:creator>openpyxl</dc:creator>
  <dc:description/>
  <dc:language>en-US</dc:language>
  <cp:lastModifiedBy/>
  <dcterms:modified xsi:type="dcterms:W3CDTF">2026-10-28T11:34:58Z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